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joe/Desktop/"/>
    </mc:Choice>
  </mc:AlternateContent>
  <xr:revisionPtr revIDLastSave="0" documentId="13_ncr:1_{FFE5E71A-7C48-D542-83C8-DFF3FD6102D3}" xr6:coauthVersionLast="47" xr6:coauthVersionMax="47" xr10:uidLastSave="{00000000-0000-0000-0000-000000000000}"/>
  <bookViews>
    <workbookView xWindow="38400" yWindow="600" windowWidth="38400" windowHeight="23400" tabRatio="500" xr2:uid="{00000000-000D-0000-FFFF-FFFF00000000}"/>
  </bookViews>
  <sheets>
    <sheet name="Raw Data" sheetId="1" r:id="rId1"/>
    <sheet name="Numeric Summary" sheetId="2" r:id="rId2"/>
    <sheet name="By Treatment" sheetId="3" r:id="rId3"/>
    <sheet name="Categorical Summary" sheetId="4" r:id="rId4"/>
    <sheet name="Notes" sheetId="5" r:id="rId5"/>
  </sheets>
  <definedNames>
    <definedName name="_xlnm._FilterDatabase" localSheetId="0" hidden="1">'Raw Data'!$A$4:$V$4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4" l="1"/>
  <c r="C18" i="4" s="1"/>
  <c r="B17" i="4"/>
  <c r="C17" i="4" s="1"/>
  <c r="B13" i="4"/>
  <c r="C13" i="4" s="1"/>
  <c r="C12" i="4"/>
  <c r="B12" i="4"/>
  <c r="B8" i="4"/>
  <c r="C8" i="4" s="1"/>
  <c r="B7" i="4"/>
  <c r="C7" i="4" s="1"/>
  <c r="B6" i="4"/>
  <c r="C6" i="4" s="1"/>
  <c r="G53" i="3"/>
  <c r="F53" i="3" a="1"/>
  <c r="F53" i="3" s="1"/>
  <c r="E53" i="3"/>
  <c r="D53" i="3" a="1"/>
  <c r="D53" i="3" s="1"/>
  <c r="C53" i="3"/>
  <c r="B53" i="3"/>
  <c r="G52" i="3"/>
  <c r="F52" i="3" a="1"/>
  <c r="F52" i="3" s="1"/>
  <c r="E52" i="3"/>
  <c r="D52" i="3" a="1"/>
  <c r="D52" i="3"/>
  <c r="C52" i="3"/>
  <c r="B52" i="3"/>
  <c r="G51" i="3"/>
  <c r="F51" i="3" a="1"/>
  <c r="F51" i="3"/>
  <c r="E51" i="3"/>
  <c r="D51" i="3" a="1"/>
  <c r="D51" i="3" s="1"/>
  <c r="C51" i="3"/>
  <c r="B51" i="3"/>
  <c r="G50" i="3"/>
  <c r="F50" i="3" a="1"/>
  <c r="F50" i="3"/>
  <c r="E50" i="3"/>
  <c r="D50" i="3" a="1"/>
  <c r="D50" i="3" s="1"/>
  <c r="C50" i="3"/>
  <c r="B50" i="3"/>
  <c r="G49" i="3"/>
  <c r="F49" i="3" a="1"/>
  <c r="F49" i="3" s="1"/>
  <c r="E49" i="3"/>
  <c r="D49" i="3" a="1"/>
  <c r="D49" i="3" s="1"/>
  <c r="C49" i="3"/>
  <c r="B49" i="3"/>
  <c r="G48" i="3"/>
  <c r="F48" i="3" a="1"/>
  <c r="F48" i="3"/>
  <c r="E48" i="3"/>
  <c r="D48" i="3" a="1"/>
  <c r="D48" i="3" s="1"/>
  <c r="C48" i="3"/>
  <c r="B48" i="3"/>
  <c r="G47" i="3"/>
  <c r="F47" i="3" a="1"/>
  <c r="F47" i="3"/>
  <c r="E47" i="3"/>
  <c r="D47" i="3" a="1"/>
  <c r="D47" i="3" s="1"/>
  <c r="C47" i="3"/>
  <c r="B47" i="3"/>
  <c r="G46" i="3"/>
  <c r="F46" i="3" a="1"/>
  <c r="F46" i="3" s="1"/>
  <c r="E46" i="3"/>
  <c r="D46" i="3" a="1"/>
  <c r="D46" i="3"/>
  <c r="C46" i="3"/>
  <c r="B46" i="3"/>
  <c r="G45" i="3"/>
  <c r="F45" i="3" a="1"/>
  <c r="F45" i="3"/>
  <c r="E45" i="3"/>
  <c r="D45" i="3" a="1"/>
  <c r="D45" i="3" s="1"/>
  <c r="C45" i="3"/>
  <c r="B45" i="3"/>
  <c r="G44" i="3"/>
  <c r="F44" i="3" a="1"/>
  <c r="F44" i="3"/>
  <c r="E44" i="3"/>
  <c r="D44" i="3" a="1"/>
  <c r="D44" i="3" s="1"/>
  <c r="C44" i="3"/>
  <c r="B44" i="3"/>
  <c r="G43" i="3"/>
  <c r="F43" i="3" a="1"/>
  <c r="F43" i="3" s="1"/>
  <c r="E43" i="3"/>
  <c r="D43" i="3" a="1"/>
  <c r="D43" i="3"/>
  <c r="C43" i="3"/>
  <c r="B43" i="3"/>
  <c r="G42" i="3"/>
  <c r="F42" i="3" a="1"/>
  <c r="F42" i="3"/>
  <c r="E42" i="3"/>
  <c r="D42" i="3" a="1"/>
  <c r="D42" i="3" s="1"/>
  <c r="C42" i="3"/>
  <c r="B42" i="3"/>
  <c r="G41" i="3"/>
  <c r="F41" i="3" a="1"/>
  <c r="F41" i="3"/>
  <c r="E41" i="3"/>
  <c r="D41" i="3" a="1"/>
  <c r="D41" i="3" s="1"/>
  <c r="C41" i="3"/>
  <c r="B41" i="3"/>
  <c r="G40" i="3"/>
  <c r="F40" i="3" a="1"/>
  <c r="F40" i="3" s="1"/>
  <c r="E40" i="3"/>
  <c r="D40" i="3" a="1"/>
  <c r="D40" i="3"/>
  <c r="C40" i="3"/>
  <c r="B40" i="3"/>
  <c r="G36" i="3"/>
  <c r="F36" i="3" a="1"/>
  <c r="F36" i="3"/>
  <c r="E36" i="3"/>
  <c r="D36" i="3" a="1"/>
  <c r="D36" i="3" s="1"/>
  <c r="C36" i="3"/>
  <c r="B36" i="3"/>
  <c r="G35" i="3"/>
  <c r="F35" i="3" a="1"/>
  <c r="F35" i="3"/>
  <c r="E35" i="3"/>
  <c r="D35" i="3" a="1"/>
  <c r="D35" i="3" s="1"/>
  <c r="C35" i="3"/>
  <c r="B35" i="3"/>
  <c r="G34" i="3"/>
  <c r="F34" i="3" a="1"/>
  <c r="F34" i="3" s="1"/>
  <c r="E34" i="3"/>
  <c r="D34" i="3" a="1"/>
  <c r="D34" i="3"/>
  <c r="C34" i="3"/>
  <c r="B34" i="3"/>
  <c r="G33" i="3"/>
  <c r="F33" i="3" a="1"/>
  <c r="F33" i="3"/>
  <c r="E33" i="3"/>
  <c r="D33" i="3" a="1"/>
  <c r="D33" i="3" s="1"/>
  <c r="C33" i="3"/>
  <c r="B33" i="3"/>
  <c r="G32" i="3"/>
  <c r="F32" i="3" a="1"/>
  <c r="F32" i="3"/>
  <c r="E32" i="3"/>
  <c r="D32" i="3" a="1"/>
  <c r="D32" i="3" s="1"/>
  <c r="C32" i="3"/>
  <c r="B32" i="3"/>
  <c r="G31" i="3"/>
  <c r="F31" i="3" a="1"/>
  <c r="F31" i="3" s="1"/>
  <c r="E31" i="3"/>
  <c r="D31" i="3" a="1"/>
  <c r="D31" i="3"/>
  <c r="C31" i="3"/>
  <c r="B31" i="3"/>
  <c r="G30" i="3"/>
  <c r="F30" i="3" a="1"/>
  <c r="F30" i="3"/>
  <c r="E30" i="3"/>
  <c r="D30" i="3" a="1"/>
  <c r="D30" i="3" s="1"/>
  <c r="C30" i="3"/>
  <c r="B30" i="3"/>
  <c r="G29" i="3"/>
  <c r="F29" i="3" a="1"/>
  <c r="F29" i="3"/>
  <c r="E29" i="3"/>
  <c r="D29" i="3" a="1"/>
  <c r="D29" i="3" s="1"/>
  <c r="C29" i="3"/>
  <c r="B29" i="3"/>
  <c r="G28" i="3"/>
  <c r="F28" i="3" a="1"/>
  <c r="F28" i="3" s="1"/>
  <c r="E28" i="3"/>
  <c r="D28" i="3" a="1"/>
  <c r="D28" i="3"/>
  <c r="C28" i="3"/>
  <c r="B28" i="3"/>
  <c r="G27" i="3"/>
  <c r="F27" i="3" a="1"/>
  <c r="F27" i="3"/>
  <c r="E27" i="3"/>
  <c r="D27" i="3" a="1"/>
  <c r="D27" i="3" s="1"/>
  <c r="C27" i="3"/>
  <c r="B27" i="3"/>
  <c r="G26" i="3"/>
  <c r="F26" i="3" a="1"/>
  <c r="F26" i="3"/>
  <c r="E26" i="3"/>
  <c r="D26" i="3" a="1"/>
  <c r="D26" i="3" s="1"/>
  <c r="C26" i="3"/>
  <c r="B26" i="3"/>
  <c r="G25" i="3"/>
  <c r="F25" i="3" a="1"/>
  <c r="F25" i="3" s="1"/>
  <c r="E25" i="3"/>
  <c r="D25" i="3" a="1"/>
  <c r="D25" i="3"/>
  <c r="C25" i="3"/>
  <c r="B25" i="3"/>
  <c r="G24" i="3"/>
  <c r="F24" i="3" a="1"/>
  <c r="F24" i="3"/>
  <c r="E24" i="3"/>
  <c r="D24" i="3" a="1"/>
  <c r="D24" i="3" s="1"/>
  <c r="C24" i="3"/>
  <c r="B24" i="3"/>
  <c r="G23" i="3"/>
  <c r="F23" i="3" a="1"/>
  <c r="F23" i="3"/>
  <c r="E23" i="3"/>
  <c r="D23" i="3" a="1"/>
  <c r="D23" i="3" s="1"/>
  <c r="C23" i="3"/>
  <c r="B23" i="3"/>
  <c r="G19" i="3"/>
  <c r="F19" i="3" a="1"/>
  <c r="F19" i="3" s="1"/>
  <c r="E19" i="3"/>
  <c r="D19" i="3" a="1"/>
  <c r="D19" i="3"/>
  <c r="C19" i="3"/>
  <c r="B19" i="3"/>
  <c r="G18" i="3"/>
  <c r="F18" i="3" a="1"/>
  <c r="F18" i="3"/>
  <c r="E18" i="3"/>
  <c r="D18" i="3" a="1"/>
  <c r="D18" i="3" s="1"/>
  <c r="C18" i="3"/>
  <c r="B18" i="3"/>
  <c r="G17" i="3"/>
  <c r="F17" i="3" a="1"/>
  <c r="F17" i="3"/>
  <c r="E17" i="3"/>
  <c r="D17" i="3" a="1"/>
  <c r="D17" i="3" s="1"/>
  <c r="C17" i="3"/>
  <c r="B17" i="3"/>
  <c r="G16" i="3"/>
  <c r="F16" i="3" a="1"/>
  <c r="F16" i="3" s="1"/>
  <c r="E16" i="3"/>
  <c r="D16" i="3" a="1"/>
  <c r="D16" i="3"/>
  <c r="C16" i="3"/>
  <c r="B16" i="3"/>
  <c r="G15" i="3"/>
  <c r="F15" i="3" a="1"/>
  <c r="F15" i="3"/>
  <c r="E15" i="3"/>
  <c r="D15" i="3" a="1"/>
  <c r="D15" i="3" s="1"/>
  <c r="C15" i="3"/>
  <c r="B15" i="3"/>
  <c r="G14" i="3"/>
  <c r="F14" i="3" a="1"/>
  <c r="F14" i="3"/>
  <c r="E14" i="3"/>
  <c r="D14" i="3" a="1"/>
  <c r="D14" i="3" s="1"/>
  <c r="C14" i="3"/>
  <c r="B14" i="3"/>
  <c r="G13" i="3"/>
  <c r="F13" i="3" a="1"/>
  <c r="F13" i="3" s="1"/>
  <c r="E13" i="3"/>
  <c r="D13" i="3" a="1"/>
  <c r="D13" i="3"/>
  <c r="C13" i="3"/>
  <c r="B13" i="3"/>
  <c r="G12" i="3"/>
  <c r="F12" i="3" a="1"/>
  <c r="F12" i="3"/>
  <c r="E12" i="3"/>
  <c r="D12" i="3" a="1"/>
  <c r="D12" i="3" s="1"/>
  <c r="C12" i="3"/>
  <c r="B12" i="3"/>
  <c r="G11" i="3"/>
  <c r="F11" i="3" a="1"/>
  <c r="F11" i="3"/>
  <c r="E11" i="3"/>
  <c r="D11" i="3" a="1"/>
  <c r="D11" i="3" s="1"/>
  <c r="C11" i="3"/>
  <c r="B11" i="3"/>
  <c r="G10" i="3"/>
  <c r="F10" i="3" a="1"/>
  <c r="F10" i="3" s="1"/>
  <c r="E10" i="3"/>
  <c r="D10" i="3" a="1"/>
  <c r="D10" i="3"/>
  <c r="C10" i="3"/>
  <c r="B10" i="3"/>
  <c r="G9" i="3"/>
  <c r="F9" i="3" a="1"/>
  <c r="F9" i="3"/>
  <c r="E9" i="3"/>
  <c r="D9" i="3" a="1"/>
  <c r="D9" i="3" s="1"/>
  <c r="C9" i="3"/>
  <c r="B9" i="3"/>
  <c r="G8" i="3"/>
  <c r="F8" i="3" a="1"/>
  <c r="F8" i="3"/>
  <c r="E8" i="3"/>
  <c r="D8" i="3" a="1"/>
  <c r="D8" i="3" s="1"/>
  <c r="C8" i="3"/>
  <c r="B8" i="3"/>
  <c r="G7" i="3"/>
  <c r="F7" i="3" a="1"/>
  <c r="F7" i="3" s="1"/>
  <c r="E7" i="3"/>
  <c r="D7" i="3" a="1"/>
  <c r="D7" i="3"/>
  <c r="C7" i="3"/>
  <c r="B7" i="3"/>
  <c r="G6" i="3"/>
  <c r="F6" i="3" a="1"/>
  <c r="F6" i="3"/>
  <c r="E6" i="3"/>
  <c r="D6" i="3" a="1"/>
  <c r="D6" i="3" s="1"/>
  <c r="C6" i="3"/>
  <c r="B6" i="3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<sst xmlns="http://schemas.openxmlformats.org/spreadsheetml/2006/main" count="508" uniqueCount="142">
  <si>
    <t>Oyster Reef Restoration — Raw Data</t>
  </si>
  <si>
    <t>75 samples; source file: oyster_latlong_elevation_tex_element.csv</t>
  </si>
  <si>
    <t>sampleID</t>
  </si>
  <si>
    <t>treatment</t>
  </si>
  <si>
    <t>treatment substrate</t>
  </si>
  <si>
    <t>substrate sampled</t>
  </si>
  <si>
    <t>density (#/m^2)</t>
  </si>
  <si>
    <t>percent cover</t>
  </si>
  <si>
    <t>easting</t>
  </si>
  <si>
    <t>northing</t>
  </si>
  <si>
    <t>elevation (m NAVD)</t>
  </si>
  <si>
    <t>longitude</t>
  </si>
  <si>
    <t>latitude</t>
  </si>
  <si>
    <t>mean oyster density (#/m^2)</t>
  </si>
  <si>
    <t>wt %N</t>
  </si>
  <si>
    <t>wt %total C</t>
  </si>
  <si>
    <t>%CaCO3</t>
  </si>
  <si>
    <t>%TIC</t>
  </si>
  <si>
    <t>wt %TOC by difference</t>
  </si>
  <si>
    <t>C:N ratio</t>
  </si>
  <si>
    <t>fraction &gt; 6mm</t>
  </si>
  <si>
    <t>fraction 2-6mm</t>
  </si>
  <si>
    <t>fraction .063-2mm</t>
  </si>
  <si>
    <t>fraction &lt;0.063mm</t>
  </si>
  <si>
    <t>T01 Q1</t>
  </si>
  <si>
    <t>h</t>
  </si>
  <si>
    <t>jute</t>
  </si>
  <si>
    <t>T01 Q2</t>
  </si>
  <si>
    <t>shell</t>
  </si>
  <si>
    <t>T01 Q3</t>
  </si>
  <si>
    <t>T01 Q4</t>
  </si>
  <si>
    <t>T01 Q5</t>
  </si>
  <si>
    <t>T02 Q1</t>
  </si>
  <si>
    <t>c</t>
  </si>
  <si>
    <t>T02 Q2</t>
  </si>
  <si>
    <t>T02 Q3</t>
  </si>
  <si>
    <t>T02 Q4</t>
  </si>
  <si>
    <t>T02 Q5</t>
  </si>
  <si>
    <t>T03 Q1</t>
  </si>
  <si>
    <t>l</t>
  </si>
  <si>
    <t>T03 Q2</t>
  </si>
  <si>
    <t>T03 Q3</t>
  </si>
  <si>
    <t>T03 Q4</t>
  </si>
  <si>
    <t>T03 Q5</t>
  </si>
  <si>
    <t>T04 Q1</t>
  </si>
  <si>
    <t>T04 Q2</t>
  </si>
  <si>
    <t>T04 Q3</t>
  </si>
  <si>
    <t>T04 Q4</t>
  </si>
  <si>
    <t>T04 Q5</t>
  </si>
  <si>
    <t>T05 Q1</t>
  </si>
  <si>
    <t>T05 Q2</t>
  </si>
  <si>
    <t>T05 Q3</t>
  </si>
  <si>
    <t>T05 Q4</t>
  </si>
  <si>
    <t>T05 Q5</t>
  </si>
  <si>
    <t>T06 Q1</t>
  </si>
  <si>
    <t>T06 Q2</t>
  </si>
  <si>
    <t>T06 Q3</t>
  </si>
  <si>
    <t>T06 Q4</t>
  </si>
  <si>
    <t>T06 Q5</t>
  </si>
  <si>
    <t>T07 Q1</t>
  </si>
  <si>
    <t>T07 Q2</t>
  </si>
  <si>
    <t>T07 Q3</t>
  </si>
  <si>
    <t>T07 Q4</t>
  </si>
  <si>
    <t>T07 Q5</t>
  </si>
  <si>
    <t>T08 Q1</t>
  </si>
  <si>
    <t>T08 Q2</t>
  </si>
  <si>
    <t>T08 Q3</t>
  </si>
  <si>
    <t>T08 Q4</t>
  </si>
  <si>
    <t>T08 Q5</t>
  </si>
  <si>
    <t>T09 Q1</t>
  </si>
  <si>
    <t>T09 Q2</t>
  </si>
  <si>
    <t>T09 Q3</t>
  </si>
  <si>
    <t>T09 Q4</t>
  </si>
  <si>
    <t>T09 Q5</t>
  </si>
  <si>
    <t>T10 Q1</t>
  </si>
  <si>
    <t>T10 Q2</t>
  </si>
  <si>
    <t>T10 Q3</t>
  </si>
  <si>
    <t>T10 Q4</t>
  </si>
  <si>
    <t>T10 Q5</t>
  </si>
  <si>
    <t>T11 Q1</t>
  </si>
  <si>
    <t>T11 Q2</t>
  </si>
  <si>
    <t>T11 Q3</t>
  </si>
  <si>
    <t>T11 Q4</t>
  </si>
  <si>
    <t>T11 Q5</t>
  </si>
  <si>
    <t>T12 Q1</t>
  </si>
  <si>
    <t>T12 Q2</t>
  </si>
  <si>
    <t>T12 Q3</t>
  </si>
  <si>
    <t>T12 Q4</t>
  </si>
  <si>
    <t>T12 Q5</t>
  </si>
  <si>
    <t>T13 Q1</t>
  </si>
  <si>
    <t>T13 Q2</t>
  </si>
  <si>
    <t>T13 Q3</t>
  </si>
  <si>
    <t>T13 Q4</t>
  </si>
  <si>
    <t>T13 Q5</t>
  </si>
  <si>
    <t>T14 Q1</t>
  </si>
  <si>
    <t>T14 Q2</t>
  </si>
  <si>
    <t>T14 Q3</t>
  </si>
  <si>
    <t>T14 Q4</t>
  </si>
  <si>
    <t>T14 Q5</t>
  </si>
  <si>
    <t>T15 Q1</t>
  </si>
  <si>
    <t>T15 Q2</t>
  </si>
  <si>
    <t>T15 Q3</t>
  </si>
  <si>
    <t>T15 Q4</t>
  </si>
  <si>
    <t>T15 Q5</t>
  </si>
  <si>
    <t>Numeric Variable Summary</t>
  </si>
  <si>
    <t>Descriptive statistics computed live from the Raw Data sheet (formulas, not hardcoded)</t>
  </si>
  <si>
    <t>Variable</t>
  </si>
  <si>
    <t>N (non-blank)</t>
  </si>
  <si>
    <t>Mean</t>
  </si>
  <si>
    <t>Std Dev</t>
  </si>
  <si>
    <t>Min</t>
  </si>
  <si>
    <t>Median</t>
  </si>
  <si>
    <t>Max</t>
  </si>
  <si>
    <t>Units / Notes</t>
  </si>
  <si>
    <t>count per quadrat</t>
  </si>
  <si>
    <t>%</t>
  </si>
  <si>
    <t>m, NAVD88 datum</t>
  </si>
  <si>
    <t>site-level mean</t>
  </si>
  <si>
    <t>sediment, shell samples only</t>
  </si>
  <si>
    <t>total inorganic carbon</t>
  </si>
  <si>
    <t>total organic carbon</t>
  </si>
  <si>
    <t>grain-size fraction</t>
  </si>
  <si>
    <t>Numeric Variable Summary by Treatment</t>
  </si>
  <si>
    <t>Descriptive statistics computed live from the Raw Data sheet (array formulas, not hardcoded), split by treatment (h/c/l)</t>
  </si>
  <si>
    <t>Treatment: H (High)</t>
  </si>
  <si>
    <t>Treatment: C (Control)</t>
  </si>
  <si>
    <t>Treatment: L (Low)</t>
  </si>
  <si>
    <t>Categorical Variable Summary</t>
  </si>
  <si>
    <t>Counts computed live from the Raw Data sheet (COUNTIF formulas)</t>
  </si>
  <si>
    <t>Level</t>
  </si>
  <si>
    <t>Count</t>
  </si>
  <si>
    <t>% of 75 samples</t>
  </si>
  <si>
    <t>Note</t>
  </si>
  <si>
    <t>high (treatment level)</t>
  </si>
  <si>
    <t>control</t>
  </si>
  <si>
    <t>low (treatment level)</t>
  </si>
  <si>
    <t>Notes on the Data</t>
  </si>
  <si>
    <t>• Dataset: oyster reef restoration monitoring — 75 quadrat samples at a single field site (~29.163°N, -82.997°W), comparing three treatments (h/high, c/control, l/low) and two substrate types (jute vs. shell).</t>
  </si>
  <si>
    <t>• Sediment / elemental columns (wt %N, wt %total C, %CaCO3, %TIC, wt %TOC by difference, C:N ratio, and the four grain-size fraction columns) are populated for 51 of 75 rows. The 24 missing rows all have 'substrate sampled' = jute — these analyses were only run on shell-substrate samples.</t>
  </si>
  <si>
    <t>• 'treatment substrate' records what substrate was deployed as part of the experimental design; 'substrate sampled' records what was actually collected at that quadrat, and the two do not always match.</t>
  </si>
  <si>
    <t>• Coordinates are supplied in two systems: projected easting/northing and geographic longitude/latitude (both referencing the same locations).</t>
  </si>
  <si>
    <t>• 'mean oyster density' appears to be a site- or treatment-level average rather than a per-quadrat count, since it repeats across multiple rows sharing similar coordinates.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</si>
</sst>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i/>
      <sz val="9"/>
      <color rgb="FF808080"/>
      <name val="Arial"/>
      <family val="2"/>
    </font>
    <font>
      <b/>
      <sz val="12"/>
      <color rgb="FFFFFFFF"/>
      <name val="Arial"/>
      <family val="2"/>
    </font>
    <font>
      <sz val="11"/>
      <name val="Calibri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0" borderId="0" xfId="0" applyFont="1"/>
    <xf numFmtId="0" fontId="6" fillId="4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/>
    <xf numFmtId="0" fontId="4" fillId="3" borderId="1" xfId="0" applyFont="1" applyFill="1" applyBorder="1"/>
    <xf numFmtId="1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5" fillId="3" borderId="1" xfId="0" applyFont="1" applyFill="1" applyBorder="1"/>
    <xf numFmtId="0" fontId="4" fillId="0" borderId="0" xfId="0" applyFont="1"/>
    <xf numFmtId="0" fontId="3" fillId="2" borderId="0" xfId="0" applyFont="1" applyFill="1"/>
    <xf numFmtId="1" fontId="7" fillId="0" borderId="0" xfId="0" applyNumberFormat="1" applyFont="1"/>
    <xf numFmtId="164" fontId="7" fillId="0" borderId="0" xfId="0" applyNumberFormat="1" applyFont="1"/>
    <xf numFmtId="0" fontId="4" fillId="3" borderId="0" xfId="0" applyFont="1" applyFill="1"/>
    <xf numFmtId="1" fontId="7" fillId="3" borderId="0" xfId="0" applyNumberFormat="1" applyFont="1" applyFill="1"/>
    <xf numFmtId="164" fontId="7" fillId="3" borderId="0" xfId="0" applyNumberFormat="1" applyFont="1" applyFill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showGridLines="0"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sqref="A1:V1"/>
    </sheetView>
  </sheetViews>
  <sheetFormatPr baseColWidth="10" defaultColWidth="8.6640625" defaultRowHeight="15" x14ac:dyDescent="0.2"/>
  <cols>
    <col min="1" max="2" width="10" customWidth="1"/>
    <col min="3" max="3" width="23.6640625" bestFit="1" customWidth="1"/>
    <col min="4" max="4" width="22.6640625" bestFit="1" customWidth="1"/>
    <col min="5" max="5" width="13" customWidth="1"/>
    <col min="6" max="8" width="12" customWidth="1"/>
    <col min="9" max="9" width="17" customWidth="1"/>
    <col min="10" max="10" width="12" customWidth="1"/>
    <col min="11" max="11" width="11" customWidth="1"/>
    <col min="12" max="12" width="18" customWidth="1"/>
    <col min="13" max="13" width="8" customWidth="1"/>
    <col min="14" max="14" width="10" customWidth="1"/>
    <col min="15" max="15" width="9" customWidth="1"/>
    <col min="16" max="16" width="8" customWidth="1"/>
    <col min="17" max="17" width="14" customWidth="1"/>
    <col min="18" max="18" width="10" customWidth="1"/>
    <col min="19" max="20" width="12" customWidth="1"/>
    <col min="21" max="22" width="15" customWidth="1"/>
  </cols>
  <sheetData>
    <row r="1" spans="1:22" ht="17.2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spans="1:22" ht="15" customHeight="1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</row>
    <row r="5" spans="1:22" ht="15" customHeight="1" x14ac:dyDescent="0.2">
      <c r="A5" s="7" t="s">
        <v>24</v>
      </c>
      <c r="B5" s="7" t="s">
        <v>25</v>
      </c>
      <c r="C5" s="7" t="s">
        <v>26</v>
      </c>
      <c r="D5" s="7" t="s">
        <v>26</v>
      </c>
      <c r="E5" s="8">
        <v>2176</v>
      </c>
      <c r="F5" s="8">
        <v>100</v>
      </c>
      <c r="G5" s="8">
        <v>102949.594</v>
      </c>
      <c r="H5" s="8">
        <v>535503.48499999999</v>
      </c>
      <c r="I5" s="8">
        <v>-0.20699999999999999</v>
      </c>
      <c r="J5" s="8">
        <v>-82.997613659999999</v>
      </c>
      <c r="K5" s="8">
        <v>29.162966709999999</v>
      </c>
      <c r="L5" s="8">
        <v>1116.8</v>
      </c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5" customHeight="1" x14ac:dyDescent="0.2">
      <c r="A6" s="7" t="s">
        <v>27</v>
      </c>
      <c r="B6" s="7" t="s">
        <v>25</v>
      </c>
      <c r="C6" s="7" t="s">
        <v>26</v>
      </c>
      <c r="D6" s="7" t="s">
        <v>28</v>
      </c>
      <c r="E6" s="8">
        <v>0</v>
      </c>
      <c r="F6" s="8">
        <v>0</v>
      </c>
      <c r="G6" s="8">
        <v>102952.848</v>
      </c>
      <c r="H6" s="8">
        <v>535507.08200000005</v>
      </c>
      <c r="I6" s="8">
        <v>-0.28699999999999998</v>
      </c>
      <c r="J6" s="8">
        <v>-82.99758052</v>
      </c>
      <c r="K6" s="8">
        <v>29.162999419999998</v>
      </c>
      <c r="L6" s="8">
        <v>1116.8</v>
      </c>
      <c r="M6" s="8">
        <v>0.25</v>
      </c>
      <c r="N6" s="8">
        <v>10.27</v>
      </c>
      <c r="O6" s="8">
        <v>73.099999999999994</v>
      </c>
      <c r="P6" s="8">
        <v>8.77</v>
      </c>
      <c r="Q6" s="8">
        <v>1.5</v>
      </c>
      <c r="R6" s="8">
        <v>6</v>
      </c>
      <c r="S6" s="8">
        <v>0.37</v>
      </c>
      <c r="T6" s="8">
        <v>0.17</v>
      </c>
      <c r="U6" s="8">
        <v>0.23</v>
      </c>
      <c r="V6" s="8">
        <v>0.23</v>
      </c>
    </row>
    <row r="7" spans="1:22" ht="15" customHeight="1" x14ac:dyDescent="0.2">
      <c r="A7" s="7" t="s">
        <v>29</v>
      </c>
      <c r="B7" s="7" t="s">
        <v>25</v>
      </c>
      <c r="C7" s="7" t="s">
        <v>26</v>
      </c>
      <c r="D7" s="7" t="s">
        <v>28</v>
      </c>
      <c r="E7" s="8">
        <v>16</v>
      </c>
      <c r="F7" s="8">
        <v>1</v>
      </c>
      <c r="G7" s="8">
        <v>102948.15300000001</v>
      </c>
      <c r="H7" s="8">
        <v>535502.902</v>
      </c>
      <c r="I7" s="8">
        <v>-0.27900000000000003</v>
      </c>
      <c r="J7" s="8">
        <v>-82.997628419999998</v>
      </c>
      <c r="K7" s="8">
        <v>29.16296135</v>
      </c>
      <c r="L7" s="8">
        <v>1116.8</v>
      </c>
      <c r="M7" s="8">
        <v>0.21</v>
      </c>
      <c r="N7" s="8">
        <v>10.16</v>
      </c>
      <c r="O7" s="8">
        <v>72.63</v>
      </c>
      <c r="P7" s="8">
        <v>8.7200000000000006</v>
      </c>
      <c r="Q7" s="8">
        <v>1.44</v>
      </c>
      <c r="R7" s="8">
        <v>6.9</v>
      </c>
      <c r="S7" s="8">
        <v>0.44</v>
      </c>
      <c r="T7" s="8">
        <v>0.13</v>
      </c>
      <c r="U7" s="8">
        <v>0.22</v>
      </c>
      <c r="V7" s="8">
        <v>0.2</v>
      </c>
    </row>
    <row r="8" spans="1:22" ht="15" customHeight="1" x14ac:dyDescent="0.2">
      <c r="A8" s="7" t="s">
        <v>30</v>
      </c>
      <c r="B8" s="7" t="s">
        <v>25</v>
      </c>
      <c r="C8" s="7" t="s">
        <v>26</v>
      </c>
      <c r="D8" s="7" t="s">
        <v>26</v>
      </c>
      <c r="E8" s="8">
        <v>1744</v>
      </c>
      <c r="F8" s="8">
        <v>100</v>
      </c>
      <c r="G8" s="8">
        <v>102947.11900000001</v>
      </c>
      <c r="H8" s="8">
        <v>535502.23499999999</v>
      </c>
      <c r="I8" s="8">
        <v>-0.17799999999999999</v>
      </c>
      <c r="J8" s="8">
        <v>-82.997638989999999</v>
      </c>
      <c r="K8" s="8">
        <v>29.16295525</v>
      </c>
      <c r="L8" s="8">
        <v>1116.8</v>
      </c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5" customHeight="1" x14ac:dyDescent="0.2">
      <c r="A9" s="7" t="s">
        <v>31</v>
      </c>
      <c r="B9" s="7" t="s">
        <v>25</v>
      </c>
      <c r="C9" s="7" t="s">
        <v>26</v>
      </c>
      <c r="D9" s="7" t="s">
        <v>26</v>
      </c>
      <c r="E9" s="8">
        <v>1648</v>
      </c>
      <c r="F9" s="8">
        <v>100</v>
      </c>
      <c r="G9" s="8">
        <v>102951.72199999999</v>
      </c>
      <c r="H9" s="8">
        <v>535506.30099999998</v>
      </c>
      <c r="I9" s="8">
        <v>-0.19</v>
      </c>
      <c r="J9" s="8">
        <v>-82.997592040000001</v>
      </c>
      <c r="K9" s="8">
        <v>29.162992289999998</v>
      </c>
      <c r="L9" s="8">
        <v>1116.8</v>
      </c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ht="15" customHeight="1" x14ac:dyDescent="0.2">
      <c r="A10" s="7" t="s">
        <v>32</v>
      </c>
      <c r="B10" s="7" t="s">
        <v>33</v>
      </c>
      <c r="C10" s="7" t="s">
        <v>28</v>
      </c>
      <c r="D10" s="7" t="s">
        <v>28</v>
      </c>
      <c r="E10" s="8">
        <v>0</v>
      </c>
      <c r="F10" s="8">
        <v>0</v>
      </c>
      <c r="G10" s="8">
        <v>102958.094</v>
      </c>
      <c r="H10" s="8">
        <v>535510.26100000006</v>
      </c>
      <c r="I10" s="8">
        <v>-0.317</v>
      </c>
      <c r="J10" s="8">
        <v>-82.997526890000003</v>
      </c>
      <c r="K10" s="8">
        <v>29.163028499999999</v>
      </c>
      <c r="L10" s="8">
        <v>0</v>
      </c>
      <c r="M10" s="8">
        <v>0.26</v>
      </c>
      <c r="N10" s="8">
        <v>10.19</v>
      </c>
      <c r="O10" s="8">
        <v>68.11</v>
      </c>
      <c r="P10" s="8">
        <v>8.17</v>
      </c>
      <c r="Q10" s="8">
        <v>2.02</v>
      </c>
      <c r="R10" s="8">
        <v>7.8</v>
      </c>
      <c r="S10" s="8">
        <v>0.34</v>
      </c>
      <c r="T10" s="8">
        <v>0.09</v>
      </c>
      <c r="U10" s="8">
        <v>0.26</v>
      </c>
      <c r="V10" s="8">
        <v>0.31</v>
      </c>
    </row>
    <row r="11" spans="1:22" ht="15" customHeight="1" x14ac:dyDescent="0.2">
      <c r="A11" s="7" t="s">
        <v>34</v>
      </c>
      <c r="B11" s="7" t="s">
        <v>33</v>
      </c>
      <c r="C11" s="7" t="s">
        <v>28</v>
      </c>
      <c r="D11" s="7" t="s">
        <v>28</v>
      </c>
      <c r="E11" s="8">
        <v>0</v>
      </c>
      <c r="F11" s="8">
        <v>0</v>
      </c>
      <c r="G11" s="8">
        <v>102959.319</v>
      </c>
      <c r="H11" s="8">
        <v>535510.86600000004</v>
      </c>
      <c r="I11" s="8">
        <v>-0.313</v>
      </c>
      <c r="J11" s="8">
        <v>-82.997514350000003</v>
      </c>
      <c r="K11" s="8">
        <v>29.163034039999999</v>
      </c>
      <c r="L11" s="8">
        <v>0</v>
      </c>
      <c r="M11" s="8">
        <v>0.24</v>
      </c>
      <c r="N11" s="8">
        <v>10.41</v>
      </c>
      <c r="O11" s="8">
        <v>69.709999999999994</v>
      </c>
      <c r="P11" s="8">
        <v>8.3699999999999992</v>
      </c>
      <c r="Q11" s="8">
        <v>2.04</v>
      </c>
      <c r="R11" s="8">
        <v>8.5</v>
      </c>
      <c r="S11" s="8">
        <v>0.43</v>
      </c>
      <c r="T11" s="8">
        <v>0.12</v>
      </c>
      <c r="U11" s="8">
        <v>0.2</v>
      </c>
      <c r="V11" s="8">
        <v>0.24</v>
      </c>
    </row>
    <row r="12" spans="1:22" ht="15" customHeight="1" x14ac:dyDescent="0.2">
      <c r="A12" s="7" t="s">
        <v>35</v>
      </c>
      <c r="B12" s="7" t="s">
        <v>33</v>
      </c>
      <c r="C12" s="7" t="s">
        <v>28</v>
      </c>
      <c r="D12" s="7" t="s">
        <v>28</v>
      </c>
      <c r="E12" s="8">
        <v>0</v>
      </c>
      <c r="F12" s="8">
        <v>0</v>
      </c>
      <c r="G12" s="8">
        <v>102962.42600000001</v>
      </c>
      <c r="H12" s="8">
        <v>535512.73199999996</v>
      </c>
      <c r="I12" s="8">
        <v>-0.33500000000000002</v>
      </c>
      <c r="J12" s="8">
        <v>-82.997482579999996</v>
      </c>
      <c r="K12" s="8">
        <v>29.163051119999999</v>
      </c>
      <c r="L12" s="8">
        <v>0</v>
      </c>
      <c r="M12" s="8">
        <v>0.22</v>
      </c>
      <c r="N12" s="8">
        <v>10.5</v>
      </c>
      <c r="O12" s="8">
        <v>72.84</v>
      </c>
      <c r="P12" s="8">
        <v>8.74</v>
      </c>
      <c r="Q12" s="8">
        <v>1.76</v>
      </c>
      <c r="R12" s="8">
        <v>8</v>
      </c>
      <c r="S12" s="8">
        <v>0.26</v>
      </c>
      <c r="T12" s="8">
        <v>0.22</v>
      </c>
      <c r="U12" s="8">
        <v>0.25</v>
      </c>
      <c r="V12" s="8">
        <v>0.28000000000000003</v>
      </c>
    </row>
    <row r="13" spans="1:22" ht="15" customHeight="1" x14ac:dyDescent="0.2">
      <c r="A13" s="7" t="s">
        <v>36</v>
      </c>
      <c r="B13" s="7" t="s">
        <v>33</v>
      </c>
      <c r="C13" s="7" t="s">
        <v>28</v>
      </c>
      <c r="D13" s="7" t="s">
        <v>28</v>
      </c>
      <c r="E13" s="8">
        <v>0</v>
      </c>
      <c r="F13" s="8">
        <v>0</v>
      </c>
      <c r="G13" s="8">
        <v>102964.17600000001</v>
      </c>
      <c r="H13" s="8">
        <v>535512.65899999999</v>
      </c>
      <c r="I13" s="8">
        <v>-0.39300000000000002</v>
      </c>
      <c r="J13" s="8">
        <v>-82.997464579999999</v>
      </c>
      <c r="K13" s="8">
        <v>29.163050590000001</v>
      </c>
      <c r="L13" s="8">
        <v>0</v>
      </c>
      <c r="M13" s="8">
        <v>0.21</v>
      </c>
      <c r="N13" s="8">
        <v>10.039999999999999</v>
      </c>
      <c r="O13" s="8">
        <v>69.45</v>
      </c>
      <c r="P13" s="8">
        <v>8.33</v>
      </c>
      <c r="Q13" s="8">
        <v>1.71</v>
      </c>
      <c r="R13" s="8">
        <v>8.1</v>
      </c>
      <c r="S13" s="8">
        <v>0.35</v>
      </c>
      <c r="T13" s="8">
        <v>0.13</v>
      </c>
      <c r="U13" s="8">
        <v>0.3</v>
      </c>
      <c r="V13" s="8">
        <v>0.22</v>
      </c>
    </row>
    <row r="14" spans="1:22" ht="15" customHeight="1" x14ac:dyDescent="0.2">
      <c r="A14" s="7" t="s">
        <v>37</v>
      </c>
      <c r="B14" s="7" t="s">
        <v>33</v>
      </c>
      <c r="C14" s="7" t="s">
        <v>28</v>
      </c>
      <c r="D14" s="7" t="s">
        <v>28</v>
      </c>
      <c r="E14" s="8">
        <v>0</v>
      </c>
      <c r="F14" s="8">
        <v>0</v>
      </c>
      <c r="G14" s="8">
        <v>102961.33500000001</v>
      </c>
      <c r="H14" s="8">
        <v>535512.18200000003</v>
      </c>
      <c r="I14" s="8">
        <v>-0.32</v>
      </c>
      <c r="J14" s="8">
        <v>-82.997493750000004</v>
      </c>
      <c r="K14" s="8">
        <v>29.16304607</v>
      </c>
      <c r="L14" s="8">
        <v>0</v>
      </c>
      <c r="M14" s="8">
        <v>0.2</v>
      </c>
      <c r="N14" s="8">
        <v>10.43</v>
      </c>
      <c r="O14" s="8">
        <v>74.38</v>
      </c>
      <c r="P14" s="8">
        <v>8.93</v>
      </c>
      <c r="Q14" s="8">
        <v>1.5</v>
      </c>
      <c r="R14" s="8">
        <v>7.5</v>
      </c>
      <c r="S14" s="8">
        <v>0.21</v>
      </c>
      <c r="T14" s="8">
        <v>0.15</v>
      </c>
      <c r="U14" s="8">
        <v>0.42</v>
      </c>
      <c r="V14" s="8">
        <v>0.22</v>
      </c>
    </row>
    <row r="15" spans="1:22" ht="15" customHeight="1" x14ac:dyDescent="0.2">
      <c r="A15" s="7" t="s">
        <v>38</v>
      </c>
      <c r="B15" s="7" t="s">
        <v>39</v>
      </c>
      <c r="C15" s="7" t="s">
        <v>26</v>
      </c>
      <c r="D15" s="7" t="s">
        <v>28</v>
      </c>
      <c r="E15" s="8">
        <v>0</v>
      </c>
      <c r="F15" s="8">
        <v>0</v>
      </c>
      <c r="G15" s="8">
        <v>102978.989</v>
      </c>
      <c r="H15" s="8">
        <v>535520.73199999996</v>
      </c>
      <c r="I15" s="8">
        <v>-0.35899999999999999</v>
      </c>
      <c r="J15" s="8">
        <v>-82.997313039999995</v>
      </c>
      <c r="K15" s="8">
        <v>29.16312456</v>
      </c>
      <c r="L15" s="8">
        <v>464</v>
      </c>
      <c r="M15" s="8">
        <v>0.21</v>
      </c>
      <c r="N15" s="8">
        <v>9.76</v>
      </c>
      <c r="O15" s="8">
        <v>68.11</v>
      </c>
      <c r="P15" s="8">
        <v>8.17</v>
      </c>
      <c r="Q15" s="8">
        <v>1.59</v>
      </c>
      <c r="R15" s="8">
        <v>7.6</v>
      </c>
      <c r="S15" s="8">
        <v>0.33</v>
      </c>
      <c r="T15" s="8">
        <v>0.14000000000000001</v>
      </c>
      <c r="U15" s="8">
        <v>0.32</v>
      </c>
      <c r="V15" s="8">
        <v>0.22</v>
      </c>
    </row>
    <row r="16" spans="1:22" ht="15" customHeight="1" x14ac:dyDescent="0.2">
      <c r="A16" s="7" t="s">
        <v>40</v>
      </c>
      <c r="B16" s="7" t="s">
        <v>39</v>
      </c>
      <c r="C16" s="7" t="s">
        <v>26</v>
      </c>
      <c r="D16" s="7" t="s">
        <v>28</v>
      </c>
      <c r="E16" s="8">
        <v>0</v>
      </c>
      <c r="F16" s="8">
        <v>0</v>
      </c>
      <c r="G16" s="8">
        <v>102971.709</v>
      </c>
      <c r="H16" s="8">
        <v>535518.62300000002</v>
      </c>
      <c r="I16" s="8">
        <v>-0.35</v>
      </c>
      <c r="J16" s="8">
        <v>-82.997387680000003</v>
      </c>
      <c r="K16" s="8">
        <v>29.163104969999999</v>
      </c>
      <c r="L16" s="8">
        <v>464</v>
      </c>
      <c r="M16" s="8">
        <v>0.22</v>
      </c>
      <c r="N16" s="8">
        <v>9.51</v>
      </c>
      <c r="O16" s="8">
        <v>65.13</v>
      </c>
      <c r="P16" s="8">
        <v>7.82</v>
      </c>
      <c r="Q16" s="8">
        <v>1.69</v>
      </c>
      <c r="R16" s="8">
        <v>7.7</v>
      </c>
      <c r="S16" s="8">
        <v>0.38</v>
      </c>
      <c r="T16" s="8">
        <v>0.15</v>
      </c>
      <c r="U16" s="8">
        <v>0.25</v>
      </c>
      <c r="V16" s="8">
        <v>0.21</v>
      </c>
    </row>
    <row r="17" spans="1:22" ht="15" customHeight="1" x14ac:dyDescent="0.2">
      <c r="A17" s="7" t="s">
        <v>41</v>
      </c>
      <c r="B17" s="7" t="s">
        <v>39</v>
      </c>
      <c r="C17" s="7" t="s">
        <v>26</v>
      </c>
      <c r="D17" s="7" t="s">
        <v>28</v>
      </c>
      <c r="E17" s="8">
        <v>0</v>
      </c>
      <c r="F17" s="8">
        <v>0</v>
      </c>
      <c r="G17" s="8">
        <v>102977.766</v>
      </c>
      <c r="H17" s="8">
        <v>535520.06099999999</v>
      </c>
      <c r="I17" s="8">
        <v>-0.32</v>
      </c>
      <c r="J17" s="8">
        <v>-82.997325549999999</v>
      </c>
      <c r="K17" s="8">
        <v>29.163118409999999</v>
      </c>
      <c r="L17" s="8">
        <v>464</v>
      </c>
      <c r="M17" s="8">
        <v>0.2</v>
      </c>
      <c r="N17" s="8">
        <v>9.7100000000000009</v>
      </c>
      <c r="O17" s="8">
        <v>72.22</v>
      </c>
      <c r="P17" s="8">
        <v>8.67</v>
      </c>
      <c r="Q17" s="8">
        <v>1.04</v>
      </c>
      <c r="R17" s="8">
        <v>5.2</v>
      </c>
      <c r="S17" s="8">
        <v>0.28999999999999998</v>
      </c>
      <c r="T17" s="8">
        <v>0.15</v>
      </c>
      <c r="U17" s="8">
        <v>0.37</v>
      </c>
      <c r="V17" s="8">
        <v>0.19</v>
      </c>
    </row>
    <row r="18" spans="1:22" ht="15" customHeight="1" x14ac:dyDescent="0.2">
      <c r="A18" s="7" t="s">
        <v>42</v>
      </c>
      <c r="B18" s="7" t="s">
        <v>39</v>
      </c>
      <c r="C18" s="7" t="s">
        <v>26</v>
      </c>
      <c r="D18" s="7" t="s">
        <v>26</v>
      </c>
      <c r="E18" s="8">
        <v>1120</v>
      </c>
      <c r="F18" s="8">
        <v>100</v>
      </c>
      <c r="G18" s="8">
        <v>102973.227</v>
      </c>
      <c r="H18" s="8">
        <v>535517.92099999997</v>
      </c>
      <c r="I18" s="8">
        <v>-0.254</v>
      </c>
      <c r="J18" s="8">
        <v>-82.997372010000007</v>
      </c>
      <c r="K18" s="8">
        <v>29.16309876</v>
      </c>
      <c r="L18" s="8">
        <v>464</v>
      </c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ht="15" customHeight="1" x14ac:dyDescent="0.2">
      <c r="A19" s="7" t="s">
        <v>43</v>
      </c>
      <c r="B19" s="7" t="s">
        <v>39</v>
      </c>
      <c r="C19" s="7" t="s">
        <v>26</v>
      </c>
      <c r="D19" s="7" t="s">
        <v>26</v>
      </c>
      <c r="E19" s="8">
        <v>1200</v>
      </c>
      <c r="F19" s="8">
        <v>100</v>
      </c>
      <c r="G19" s="8">
        <v>102975.121</v>
      </c>
      <c r="H19" s="8">
        <v>535519.924</v>
      </c>
      <c r="I19" s="8">
        <v>-0.23899999999999999</v>
      </c>
      <c r="J19" s="8">
        <v>-82.997352719999995</v>
      </c>
      <c r="K19" s="8">
        <v>29.163116970000001</v>
      </c>
      <c r="L19" s="8">
        <v>464</v>
      </c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ht="15" customHeight="1" x14ac:dyDescent="0.2">
      <c r="A20" s="7" t="s">
        <v>44</v>
      </c>
      <c r="B20" s="7" t="s">
        <v>39</v>
      </c>
      <c r="C20" s="7" t="s">
        <v>26</v>
      </c>
      <c r="D20" s="7" t="s">
        <v>28</v>
      </c>
      <c r="E20" s="8">
        <v>0</v>
      </c>
      <c r="F20" s="8">
        <v>0</v>
      </c>
      <c r="G20" s="8">
        <v>102988.712</v>
      </c>
      <c r="H20" s="8">
        <v>535522.63800000004</v>
      </c>
      <c r="I20" s="8">
        <v>-0.315</v>
      </c>
      <c r="J20" s="8">
        <v>-82.997213279999997</v>
      </c>
      <c r="K20" s="8">
        <v>29.163142499999999</v>
      </c>
      <c r="L20" s="8">
        <v>473.6</v>
      </c>
      <c r="M20" s="8">
        <v>0.14000000000000001</v>
      </c>
      <c r="N20" s="8">
        <v>10.64</v>
      </c>
      <c r="O20" s="8">
        <v>79.28</v>
      </c>
      <c r="P20" s="8">
        <v>9.51</v>
      </c>
      <c r="Q20" s="8">
        <v>1.1299999999999999</v>
      </c>
      <c r="R20" s="8">
        <v>8.1</v>
      </c>
      <c r="S20" s="8">
        <v>0.22</v>
      </c>
      <c r="T20" s="8">
        <v>0.16</v>
      </c>
      <c r="U20" s="8">
        <v>0.47</v>
      </c>
      <c r="V20" s="8">
        <v>0.15</v>
      </c>
    </row>
    <row r="21" spans="1:22" ht="15" customHeight="1" x14ac:dyDescent="0.2">
      <c r="A21" s="7" t="s">
        <v>45</v>
      </c>
      <c r="B21" s="7" t="s">
        <v>39</v>
      </c>
      <c r="C21" s="7" t="s">
        <v>26</v>
      </c>
      <c r="D21" s="7" t="s">
        <v>28</v>
      </c>
      <c r="E21" s="8">
        <v>0</v>
      </c>
      <c r="F21" s="8">
        <v>0</v>
      </c>
      <c r="G21" s="8">
        <v>102989.844</v>
      </c>
      <c r="H21" s="8">
        <v>535523.16500000004</v>
      </c>
      <c r="I21" s="8">
        <v>-0.28399999999999997</v>
      </c>
      <c r="J21" s="8">
        <v>-82.997201680000003</v>
      </c>
      <c r="K21" s="8">
        <v>29.163147339999998</v>
      </c>
      <c r="L21" s="8">
        <v>473.6</v>
      </c>
      <c r="M21" s="8">
        <v>0.15</v>
      </c>
      <c r="N21" s="8">
        <v>10.65</v>
      </c>
      <c r="O21" s="8">
        <v>79.209999999999994</v>
      </c>
      <c r="P21" s="8">
        <v>9.51</v>
      </c>
      <c r="Q21" s="8">
        <v>1.1399999999999999</v>
      </c>
      <c r="R21" s="8">
        <v>7.6</v>
      </c>
      <c r="S21" s="8">
        <v>0.28999999999999998</v>
      </c>
      <c r="T21" s="8">
        <v>0.23</v>
      </c>
      <c r="U21" s="8">
        <v>0.33</v>
      </c>
      <c r="V21" s="8">
        <v>0.14000000000000001</v>
      </c>
    </row>
    <row r="22" spans="1:22" ht="15" customHeight="1" x14ac:dyDescent="0.2">
      <c r="A22" s="7" t="s">
        <v>46</v>
      </c>
      <c r="B22" s="7" t="s">
        <v>39</v>
      </c>
      <c r="C22" s="7" t="s">
        <v>26</v>
      </c>
      <c r="D22" s="7" t="s">
        <v>26</v>
      </c>
      <c r="E22" s="8">
        <v>736</v>
      </c>
      <c r="F22" s="8">
        <v>40</v>
      </c>
      <c r="G22" s="8">
        <v>102991.45600000001</v>
      </c>
      <c r="H22" s="8">
        <v>535522.91200000001</v>
      </c>
      <c r="I22" s="8">
        <v>-0.23</v>
      </c>
      <c r="J22" s="8">
        <v>-82.997185090000002</v>
      </c>
      <c r="K22" s="8">
        <v>29.163145180000001</v>
      </c>
      <c r="L22" s="8">
        <v>473.6</v>
      </c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ht="15" customHeight="1" x14ac:dyDescent="0.2">
      <c r="A23" s="7" t="s">
        <v>47</v>
      </c>
      <c r="B23" s="7" t="s">
        <v>39</v>
      </c>
      <c r="C23" s="7" t="s">
        <v>26</v>
      </c>
      <c r="D23" s="7" t="s">
        <v>26</v>
      </c>
      <c r="E23" s="8">
        <v>768</v>
      </c>
      <c r="F23" s="8">
        <v>50</v>
      </c>
      <c r="G23" s="8">
        <v>102991.99099999999</v>
      </c>
      <c r="H23" s="8">
        <v>535524.16299999994</v>
      </c>
      <c r="I23" s="8">
        <v>-0.23100000000000001</v>
      </c>
      <c r="J23" s="8">
        <v>-82.997179709999997</v>
      </c>
      <c r="K23" s="8">
        <v>29.163156499999999</v>
      </c>
      <c r="L23" s="8">
        <v>473.6</v>
      </c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ht="15" customHeight="1" x14ac:dyDescent="0.2">
      <c r="A24" s="7" t="s">
        <v>48</v>
      </c>
      <c r="B24" s="7" t="s">
        <v>39</v>
      </c>
      <c r="C24" s="7" t="s">
        <v>26</v>
      </c>
      <c r="D24" s="7" t="s">
        <v>26</v>
      </c>
      <c r="E24" s="8">
        <v>864</v>
      </c>
      <c r="F24" s="8">
        <v>30</v>
      </c>
      <c r="G24" s="8">
        <v>102993.08100000001</v>
      </c>
      <c r="H24" s="8">
        <v>535524.53599999996</v>
      </c>
      <c r="I24" s="8">
        <v>-0.20300000000000001</v>
      </c>
      <c r="J24" s="8">
        <v>-82.997168540000004</v>
      </c>
      <c r="K24" s="8">
        <v>29.163159960000002</v>
      </c>
      <c r="L24" s="8">
        <v>473.6</v>
      </c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ht="15" customHeight="1" x14ac:dyDescent="0.2">
      <c r="A25" s="7" t="s">
        <v>49</v>
      </c>
      <c r="B25" s="7" t="s">
        <v>25</v>
      </c>
      <c r="C25" s="7" t="s">
        <v>26</v>
      </c>
      <c r="D25" s="7" t="s">
        <v>28</v>
      </c>
      <c r="E25" s="8">
        <v>0</v>
      </c>
      <c r="F25" s="8">
        <v>0</v>
      </c>
      <c r="G25" s="8">
        <v>103010.427</v>
      </c>
      <c r="H25" s="8">
        <v>535525.799</v>
      </c>
      <c r="I25" s="8">
        <v>-0.317</v>
      </c>
      <c r="J25" s="8">
        <v>-82.996990359999998</v>
      </c>
      <c r="K25" s="8">
        <v>29.163172670000002</v>
      </c>
      <c r="L25" s="8">
        <v>444.8</v>
      </c>
      <c r="M25" s="8">
        <v>0.14000000000000001</v>
      </c>
      <c r="N25" s="8">
        <v>11.12</v>
      </c>
      <c r="O25" s="8">
        <v>84.25</v>
      </c>
      <c r="P25" s="8">
        <v>10.11</v>
      </c>
      <c r="Q25" s="8">
        <v>1.01</v>
      </c>
      <c r="R25" s="8">
        <v>7.2</v>
      </c>
      <c r="S25" s="8">
        <v>0.27</v>
      </c>
      <c r="T25" s="8">
        <v>0.22</v>
      </c>
      <c r="U25" s="8">
        <v>0.34</v>
      </c>
      <c r="V25" s="8">
        <v>0.18</v>
      </c>
    </row>
    <row r="26" spans="1:22" ht="15" customHeight="1" x14ac:dyDescent="0.2">
      <c r="A26" s="7" t="s">
        <v>50</v>
      </c>
      <c r="B26" s="7" t="s">
        <v>25</v>
      </c>
      <c r="C26" s="7" t="s">
        <v>26</v>
      </c>
      <c r="D26" s="7" t="s">
        <v>28</v>
      </c>
      <c r="E26" s="8">
        <v>0</v>
      </c>
      <c r="F26" s="8">
        <v>0</v>
      </c>
      <c r="G26" s="8">
        <v>103011.465</v>
      </c>
      <c r="H26" s="8">
        <v>535527.26699999999</v>
      </c>
      <c r="I26" s="8">
        <v>-0.27500000000000002</v>
      </c>
      <c r="J26" s="8">
        <v>-82.996979820000007</v>
      </c>
      <c r="K26" s="8">
        <v>29.163186</v>
      </c>
      <c r="L26" s="8">
        <v>444.8</v>
      </c>
      <c r="M26" s="8">
        <v>0.14000000000000001</v>
      </c>
      <c r="N26" s="8">
        <v>10.77</v>
      </c>
      <c r="O26" s="8">
        <v>79.94</v>
      </c>
      <c r="P26" s="8">
        <v>9.59</v>
      </c>
      <c r="Q26" s="8">
        <v>1.18</v>
      </c>
      <c r="R26" s="8">
        <v>8.4</v>
      </c>
      <c r="S26" s="8">
        <v>0.17</v>
      </c>
      <c r="T26" s="8">
        <v>0.25</v>
      </c>
      <c r="U26" s="8">
        <v>0.46</v>
      </c>
      <c r="V26" s="8">
        <v>0.12</v>
      </c>
    </row>
    <row r="27" spans="1:22" ht="15" customHeight="1" x14ac:dyDescent="0.2">
      <c r="A27" s="7" t="s">
        <v>51</v>
      </c>
      <c r="B27" s="7" t="s">
        <v>25</v>
      </c>
      <c r="C27" s="7" t="s">
        <v>26</v>
      </c>
      <c r="D27" s="7" t="s">
        <v>26</v>
      </c>
      <c r="E27" s="8">
        <v>704</v>
      </c>
      <c r="F27" s="8">
        <v>30</v>
      </c>
      <c r="G27" s="8">
        <v>103005.5</v>
      </c>
      <c r="H27" s="8">
        <v>535526.04500000004</v>
      </c>
      <c r="I27" s="8">
        <v>-0.17499999999999999</v>
      </c>
      <c r="J27" s="8">
        <v>-82.997041019999998</v>
      </c>
      <c r="K27" s="8">
        <v>29.163174519999998</v>
      </c>
      <c r="L27" s="8">
        <v>444.8</v>
      </c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ht="15" customHeight="1" x14ac:dyDescent="0.2">
      <c r="A28" s="7" t="s">
        <v>52</v>
      </c>
      <c r="B28" s="7" t="s">
        <v>25</v>
      </c>
      <c r="C28" s="7" t="s">
        <v>26</v>
      </c>
      <c r="D28" s="7" t="s">
        <v>28</v>
      </c>
      <c r="E28" s="8">
        <v>0</v>
      </c>
      <c r="F28" s="8">
        <v>0</v>
      </c>
      <c r="G28" s="8">
        <v>103003.576</v>
      </c>
      <c r="H28" s="8">
        <v>535524.429</v>
      </c>
      <c r="I28" s="8">
        <v>-0.318</v>
      </c>
      <c r="J28" s="8">
        <v>-82.997060660000002</v>
      </c>
      <c r="K28" s="8">
        <v>29.163159790000002</v>
      </c>
      <c r="L28" s="8">
        <v>444.8</v>
      </c>
      <c r="M28" s="8">
        <v>0.14000000000000001</v>
      </c>
      <c r="N28" s="8">
        <v>10.81</v>
      </c>
      <c r="O28" s="8">
        <v>80.53</v>
      </c>
      <c r="P28" s="8">
        <v>9.66</v>
      </c>
      <c r="Q28" s="8">
        <v>1.1499999999999999</v>
      </c>
      <c r="R28" s="8">
        <v>8.1999999999999993</v>
      </c>
      <c r="S28" s="8">
        <v>0.3</v>
      </c>
      <c r="T28" s="8">
        <v>0.18</v>
      </c>
      <c r="U28" s="8">
        <v>0.36</v>
      </c>
      <c r="V28" s="8">
        <v>0.16</v>
      </c>
    </row>
    <row r="29" spans="1:22" ht="15" customHeight="1" x14ac:dyDescent="0.2">
      <c r="A29" s="7" t="s">
        <v>53</v>
      </c>
      <c r="B29" s="7" t="s">
        <v>25</v>
      </c>
      <c r="C29" s="7" t="s">
        <v>26</v>
      </c>
      <c r="D29" s="7" t="s">
        <v>26</v>
      </c>
      <c r="E29" s="8">
        <v>1520</v>
      </c>
      <c r="F29" s="8">
        <v>80</v>
      </c>
      <c r="G29" s="8">
        <v>103004.641</v>
      </c>
      <c r="H29" s="8">
        <v>535524.46499999997</v>
      </c>
      <c r="I29" s="8">
        <v>-0.26700000000000002</v>
      </c>
      <c r="J29" s="8">
        <v>-82.997049709999999</v>
      </c>
      <c r="K29" s="8">
        <v>29.163160189999999</v>
      </c>
      <c r="L29" s="8">
        <v>444.8</v>
      </c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1:22" ht="15" customHeight="1" x14ac:dyDescent="0.2">
      <c r="A30" s="7" t="s">
        <v>54</v>
      </c>
      <c r="B30" s="7" t="s">
        <v>33</v>
      </c>
      <c r="C30" s="7" t="s">
        <v>28</v>
      </c>
      <c r="D30" s="7" t="s">
        <v>28</v>
      </c>
      <c r="E30" s="8">
        <v>0</v>
      </c>
      <c r="F30" s="8">
        <v>0</v>
      </c>
      <c r="G30" s="8">
        <v>103025.74800000001</v>
      </c>
      <c r="H30" s="8">
        <v>535530.87300000002</v>
      </c>
      <c r="I30" s="8">
        <v>-0.35099999999999998</v>
      </c>
      <c r="J30" s="8">
        <v>-82.996833330000001</v>
      </c>
      <c r="K30" s="8">
        <v>29.16321962</v>
      </c>
      <c r="L30" s="8">
        <v>0</v>
      </c>
      <c r="M30" s="8">
        <v>0.17</v>
      </c>
      <c r="N30" s="8">
        <v>10.28</v>
      </c>
      <c r="O30" s="8">
        <v>72.5</v>
      </c>
      <c r="P30" s="8">
        <v>8.6999999999999993</v>
      </c>
      <c r="Q30" s="8">
        <v>1.58</v>
      </c>
      <c r="R30" s="8">
        <v>9.3000000000000007</v>
      </c>
      <c r="S30" s="8">
        <v>0.3</v>
      </c>
      <c r="T30" s="8">
        <v>0.12</v>
      </c>
      <c r="U30" s="8">
        <v>0.37</v>
      </c>
      <c r="V30" s="8">
        <v>0.21</v>
      </c>
    </row>
    <row r="31" spans="1:22" ht="15" customHeight="1" x14ac:dyDescent="0.2">
      <c r="A31" s="7" t="s">
        <v>55</v>
      </c>
      <c r="B31" s="7" t="s">
        <v>33</v>
      </c>
      <c r="C31" s="7" t="s">
        <v>28</v>
      </c>
      <c r="D31" s="7" t="s">
        <v>28</v>
      </c>
      <c r="E31" s="8">
        <v>0</v>
      </c>
      <c r="F31" s="8">
        <v>0</v>
      </c>
      <c r="G31" s="8">
        <v>103021.101</v>
      </c>
      <c r="H31" s="8">
        <v>535529.64599999995</v>
      </c>
      <c r="I31" s="8">
        <v>-0.35</v>
      </c>
      <c r="J31" s="8">
        <v>-82.99688098</v>
      </c>
      <c r="K31" s="8">
        <v>29.163208189999999</v>
      </c>
      <c r="L31" s="8">
        <v>0</v>
      </c>
      <c r="M31" s="8">
        <v>0.15</v>
      </c>
      <c r="N31" s="8">
        <v>10.3</v>
      </c>
      <c r="O31" s="8">
        <v>74.87</v>
      </c>
      <c r="P31" s="8">
        <v>8.98</v>
      </c>
      <c r="Q31" s="8">
        <v>1.32</v>
      </c>
      <c r="R31" s="8">
        <v>8.8000000000000007</v>
      </c>
      <c r="S31" s="8">
        <v>0.38</v>
      </c>
      <c r="T31" s="8">
        <v>0.14000000000000001</v>
      </c>
      <c r="U31" s="8">
        <v>0.26</v>
      </c>
      <c r="V31" s="8">
        <v>0.21</v>
      </c>
    </row>
    <row r="32" spans="1:22" ht="15" customHeight="1" x14ac:dyDescent="0.2">
      <c r="A32" s="7" t="s">
        <v>56</v>
      </c>
      <c r="B32" s="7" t="s">
        <v>33</v>
      </c>
      <c r="C32" s="7" t="s">
        <v>28</v>
      </c>
      <c r="D32" s="7" t="s">
        <v>28</v>
      </c>
      <c r="E32" s="8">
        <v>0</v>
      </c>
      <c r="F32" s="8">
        <v>0</v>
      </c>
      <c r="G32" s="8">
        <v>103022.548</v>
      </c>
      <c r="H32" s="8">
        <v>535528.71699999995</v>
      </c>
      <c r="I32" s="8">
        <v>-0.40500000000000003</v>
      </c>
      <c r="J32" s="8">
        <v>-82.996866030000007</v>
      </c>
      <c r="K32" s="8">
        <v>29.163199930000001</v>
      </c>
      <c r="L32" s="8">
        <v>0</v>
      </c>
      <c r="M32" s="8">
        <v>0.13</v>
      </c>
      <c r="N32" s="8">
        <v>10.69</v>
      </c>
      <c r="O32" s="8">
        <v>80.069999999999993</v>
      </c>
      <c r="P32" s="8">
        <v>9.61</v>
      </c>
      <c r="Q32" s="8">
        <v>1.08</v>
      </c>
      <c r="R32" s="8">
        <v>8.3000000000000007</v>
      </c>
      <c r="S32" s="8">
        <v>0.26</v>
      </c>
      <c r="T32" s="8">
        <v>0.24</v>
      </c>
      <c r="U32" s="8">
        <v>0.31</v>
      </c>
      <c r="V32" s="8">
        <v>0.19</v>
      </c>
    </row>
    <row r="33" spans="1:22" ht="15" customHeight="1" x14ac:dyDescent="0.2">
      <c r="A33" s="7" t="s">
        <v>57</v>
      </c>
      <c r="B33" s="7" t="s">
        <v>33</v>
      </c>
      <c r="C33" s="7" t="s">
        <v>28</v>
      </c>
      <c r="D33" s="7" t="s">
        <v>28</v>
      </c>
      <c r="E33" s="8">
        <v>0</v>
      </c>
      <c r="F33" s="8">
        <v>0</v>
      </c>
      <c r="G33" s="8">
        <v>103018.659</v>
      </c>
      <c r="H33" s="8">
        <v>535528.94299999997</v>
      </c>
      <c r="I33" s="8">
        <v>-0.34200000000000003</v>
      </c>
      <c r="J33" s="8">
        <v>-82.996906030000005</v>
      </c>
      <c r="K33" s="8">
        <v>29.163201659999999</v>
      </c>
      <c r="L33" s="8">
        <v>0</v>
      </c>
      <c r="M33" s="8">
        <v>0.11</v>
      </c>
      <c r="N33" s="8">
        <v>10.46</v>
      </c>
      <c r="O33" s="8">
        <v>79.45</v>
      </c>
      <c r="P33" s="8">
        <v>9.5299999999999994</v>
      </c>
      <c r="Q33" s="8">
        <v>0.93</v>
      </c>
      <c r="R33" s="8">
        <v>8.5</v>
      </c>
      <c r="S33" s="8">
        <v>0.25</v>
      </c>
      <c r="T33" s="8">
        <v>0.2</v>
      </c>
      <c r="U33" s="8">
        <v>0.39</v>
      </c>
      <c r="V33" s="8">
        <v>0.16</v>
      </c>
    </row>
    <row r="34" spans="1:22" ht="15" customHeight="1" x14ac:dyDescent="0.2">
      <c r="A34" s="7" t="s">
        <v>58</v>
      </c>
      <c r="B34" s="7" t="s">
        <v>33</v>
      </c>
      <c r="C34" s="7" t="s">
        <v>28</v>
      </c>
      <c r="D34" s="7" t="s">
        <v>28</v>
      </c>
      <c r="E34" s="8">
        <v>0</v>
      </c>
      <c r="F34" s="8">
        <v>0</v>
      </c>
      <c r="G34" s="8">
        <v>103017.61500000001</v>
      </c>
      <c r="H34" s="8">
        <v>535528.64300000004</v>
      </c>
      <c r="I34" s="8">
        <v>-0.35099999999999998</v>
      </c>
      <c r="J34" s="8">
        <v>-82.996916729999995</v>
      </c>
      <c r="K34" s="8">
        <v>29.163198879999999</v>
      </c>
      <c r="L34" s="8">
        <v>0</v>
      </c>
      <c r="M34" s="8">
        <v>0.1</v>
      </c>
      <c r="N34" s="8">
        <v>10.67</v>
      </c>
      <c r="O34" s="8">
        <v>83</v>
      </c>
      <c r="P34" s="8">
        <v>9.9600000000000009</v>
      </c>
      <c r="Q34" s="8">
        <v>0.71</v>
      </c>
      <c r="R34" s="8">
        <v>7.1</v>
      </c>
      <c r="S34" s="8">
        <v>0.25</v>
      </c>
      <c r="T34" s="8">
        <v>0.21</v>
      </c>
      <c r="U34" s="8">
        <v>0.41</v>
      </c>
      <c r="V34" s="8">
        <v>0.13</v>
      </c>
    </row>
    <row r="35" spans="1:22" ht="15" customHeight="1" x14ac:dyDescent="0.2">
      <c r="A35" s="7" t="s">
        <v>59</v>
      </c>
      <c r="B35" s="7" t="s">
        <v>33</v>
      </c>
      <c r="C35" s="7" t="s">
        <v>28</v>
      </c>
      <c r="D35" s="7" t="s">
        <v>28</v>
      </c>
      <c r="E35" s="8">
        <v>0</v>
      </c>
      <c r="F35" s="8">
        <v>0</v>
      </c>
      <c r="G35" s="8">
        <v>103040</v>
      </c>
      <c r="H35" s="8">
        <v>535532.82400000002</v>
      </c>
      <c r="I35" s="8">
        <v>-0.41599999999999998</v>
      </c>
      <c r="J35" s="8">
        <v>-82.996687010000002</v>
      </c>
      <c r="K35" s="8">
        <v>29.163238310000001</v>
      </c>
      <c r="L35" s="8">
        <v>0</v>
      </c>
      <c r="M35" s="8">
        <v>0.11</v>
      </c>
      <c r="N35" s="8">
        <v>10.74</v>
      </c>
      <c r="O35" s="8">
        <v>80.98</v>
      </c>
      <c r="P35" s="8">
        <v>9.7200000000000006</v>
      </c>
      <c r="Q35" s="8">
        <v>1.02</v>
      </c>
      <c r="R35" s="8">
        <v>9.3000000000000007</v>
      </c>
      <c r="S35" s="8">
        <v>0.22</v>
      </c>
      <c r="T35" s="8">
        <v>0.2</v>
      </c>
      <c r="U35" s="8">
        <v>0.44</v>
      </c>
      <c r="V35" s="8">
        <v>0.14000000000000001</v>
      </c>
    </row>
    <row r="36" spans="1:22" ht="15" customHeight="1" x14ac:dyDescent="0.2">
      <c r="A36" s="7" t="s">
        <v>60</v>
      </c>
      <c r="B36" s="7" t="s">
        <v>33</v>
      </c>
      <c r="C36" s="7" t="s">
        <v>28</v>
      </c>
      <c r="D36" s="7" t="s">
        <v>28</v>
      </c>
      <c r="E36" s="8">
        <v>0</v>
      </c>
      <c r="F36" s="8">
        <v>0</v>
      </c>
      <c r="G36" s="8">
        <v>103043.533</v>
      </c>
      <c r="H36" s="8">
        <v>535534.24100000004</v>
      </c>
      <c r="I36" s="8">
        <v>-0.34899999999999998</v>
      </c>
      <c r="J36" s="8">
        <v>-82.996650829999993</v>
      </c>
      <c r="K36" s="8">
        <v>29.16325136</v>
      </c>
      <c r="L36" s="8">
        <v>0</v>
      </c>
      <c r="M36" s="8">
        <v>0.16</v>
      </c>
      <c r="N36" s="8">
        <v>10.62</v>
      </c>
      <c r="O36" s="8">
        <v>76.11</v>
      </c>
      <c r="P36" s="8">
        <v>9.1300000000000008</v>
      </c>
      <c r="Q36" s="8">
        <v>1.49</v>
      </c>
      <c r="R36" s="8">
        <v>9.3000000000000007</v>
      </c>
      <c r="S36" s="8">
        <v>0.42</v>
      </c>
      <c r="T36" s="8">
        <v>0.14000000000000001</v>
      </c>
      <c r="U36" s="8">
        <v>0.19</v>
      </c>
      <c r="V36" s="8">
        <v>0.24</v>
      </c>
    </row>
    <row r="37" spans="1:22" ht="15" customHeight="1" x14ac:dyDescent="0.2">
      <c r="A37" s="7" t="s">
        <v>61</v>
      </c>
      <c r="B37" s="7" t="s">
        <v>33</v>
      </c>
      <c r="C37" s="7" t="s">
        <v>28</v>
      </c>
      <c r="D37" s="7" t="s">
        <v>28</v>
      </c>
      <c r="E37" s="8">
        <v>0</v>
      </c>
      <c r="F37" s="8">
        <v>0</v>
      </c>
      <c r="G37" s="8">
        <v>103037.368</v>
      </c>
      <c r="H37" s="8">
        <v>535533.67299999995</v>
      </c>
      <c r="I37" s="8">
        <v>-0.33</v>
      </c>
      <c r="J37" s="8">
        <v>-82.996714139999995</v>
      </c>
      <c r="K37" s="8">
        <v>29.16324577</v>
      </c>
      <c r="L37" s="8">
        <v>0</v>
      </c>
      <c r="M37" s="8">
        <v>0.16</v>
      </c>
      <c r="N37" s="8">
        <v>10.59</v>
      </c>
      <c r="O37" s="8">
        <v>74.87</v>
      </c>
      <c r="P37" s="8">
        <v>8.98</v>
      </c>
      <c r="Q37" s="8">
        <v>1.61</v>
      </c>
      <c r="R37" s="8">
        <v>10.1</v>
      </c>
      <c r="S37" s="8">
        <v>0.21</v>
      </c>
      <c r="T37" s="8">
        <v>0.21</v>
      </c>
      <c r="U37" s="8">
        <v>0.33</v>
      </c>
      <c r="V37" s="8">
        <v>0.24</v>
      </c>
    </row>
    <row r="38" spans="1:22" ht="15" customHeight="1" x14ac:dyDescent="0.2">
      <c r="A38" s="7" t="s">
        <v>62</v>
      </c>
      <c r="B38" s="7" t="s">
        <v>33</v>
      </c>
      <c r="C38" s="7" t="s">
        <v>28</v>
      </c>
      <c r="D38" s="7" t="s">
        <v>28</v>
      </c>
      <c r="E38" s="8">
        <v>0</v>
      </c>
      <c r="F38" s="8">
        <v>0</v>
      </c>
      <c r="G38" s="8">
        <v>103036.452</v>
      </c>
      <c r="H38" s="8">
        <v>535532.47499999998</v>
      </c>
      <c r="I38" s="8">
        <v>-0.39100000000000001</v>
      </c>
      <c r="J38" s="8">
        <v>-82.996723450000005</v>
      </c>
      <c r="K38" s="8">
        <v>29.163234889999998</v>
      </c>
      <c r="L38" s="8">
        <v>0</v>
      </c>
      <c r="M38" s="8">
        <v>0.12</v>
      </c>
      <c r="N38" s="8">
        <v>10.57</v>
      </c>
      <c r="O38" s="8">
        <v>78.099999999999994</v>
      </c>
      <c r="P38" s="8">
        <v>9.3699999999999992</v>
      </c>
      <c r="Q38" s="8">
        <v>1.2</v>
      </c>
      <c r="R38" s="8">
        <v>10</v>
      </c>
      <c r="S38" s="8">
        <v>0.2</v>
      </c>
      <c r="T38" s="8">
        <v>0.15</v>
      </c>
      <c r="U38" s="8">
        <v>0.47</v>
      </c>
      <c r="V38" s="8">
        <v>0.19</v>
      </c>
    </row>
    <row r="39" spans="1:22" ht="15" customHeight="1" x14ac:dyDescent="0.2">
      <c r="A39" s="7" t="s">
        <v>63</v>
      </c>
      <c r="B39" s="7" t="s">
        <v>33</v>
      </c>
      <c r="C39" s="7" t="s">
        <v>28</v>
      </c>
      <c r="D39" s="7" t="s">
        <v>28</v>
      </c>
      <c r="E39" s="8">
        <v>0</v>
      </c>
      <c r="F39" s="8">
        <v>0</v>
      </c>
      <c r="G39" s="8">
        <v>103044.715</v>
      </c>
      <c r="H39" s="8">
        <v>535534.38199999998</v>
      </c>
      <c r="I39" s="8">
        <v>-0.34899999999999998</v>
      </c>
      <c r="J39" s="8">
        <v>-82.996638700000005</v>
      </c>
      <c r="K39" s="8">
        <v>29.16325273</v>
      </c>
      <c r="L39" s="8">
        <v>0</v>
      </c>
      <c r="M39" s="8">
        <v>0.16</v>
      </c>
      <c r="N39" s="8">
        <v>10.72</v>
      </c>
      <c r="O39" s="8">
        <v>76.86</v>
      </c>
      <c r="P39" s="8">
        <v>9.2200000000000006</v>
      </c>
      <c r="Q39" s="8">
        <v>1.5</v>
      </c>
      <c r="R39" s="8">
        <v>9.4</v>
      </c>
      <c r="S39" s="8">
        <v>0.31</v>
      </c>
      <c r="T39" s="8">
        <v>0.14000000000000001</v>
      </c>
      <c r="U39" s="8">
        <v>0.33</v>
      </c>
      <c r="V39" s="8">
        <v>0.22</v>
      </c>
    </row>
    <row r="40" spans="1:22" ht="15" customHeight="1" x14ac:dyDescent="0.2">
      <c r="A40" s="7" t="s">
        <v>64</v>
      </c>
      <c r="B40" s="7" t="s">
        <v>39</v>
      </c>
      <c r="C40" s="7" t="s">
        <v>26</v>
      </c>
      <c r="D40" s="7" t="s">
        <v>26</v>
      </c>
      <c r="E40" s="8">
        <v>720</v>
      </c>
      <c r="F40" s="8">
        <v>95</v>
      </c>
      <c r="G40" s="8">
        <v>103056.14200000001</v>
      </c>
      <c r="H40" s="8">
        <v>535533.69700000004</v>
      </c>
      <c r="I40" s="8">
        <v>-0.27300000000000002</v>
      </c>
      <c r="J40" s="8">
        <v>-82.996521189999996</v>
      </c>
      <c r="K40" s="8">
        <v>29.163247420000001</v>
      </c>
      <c r="L40" s="8">
        <v>368</v>
      </c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ht="15" customHeight="1" x14ac:dyDescent="0.2">
      <c r="A41" s="7" t="s">
        <v>65</v>
      </c>
      <c r="B41" s="7" t="s">
        <v>39</v>
      </c>
      <c r="C41" s="7" t="s">
        <v>26</v>
      </c>
      <c r="D41" s="7" t="s">
        <v>26</v>
      </c>
      <c r="E41" s="8">
        <v>288</v>
      </c>
      <c r="F41" s="8">
        <v>15</v>
      </c>
      <c r="G41" s="8">
        <v>103054.827</v>
      </c>
      <c r="H41" s="8">
        <v>535535.20799999998</v>
      </c>
      <c r="I41" s="8">
        <v>-0.222</v>
      </c>
      <c r="J41" s="8">
        <v>-82.996534830000002</v>
      </c>
      <c r="K41" s="8">
        <v>29.163260950000002</v>
      </c>
      <c r="L41" s="8">
        <v>368</v>
      </c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ht="15" customHeight="1" x14ac:dyDescent="0.2">
      <c r="A42" s="7" t="s">
        <v>66</v>
      </c>
      <c r="B42" s="7" t="s">
        <v>39</v>
      </c>
      <c r="C42" s="7" t="s">
        <v>26</v>
      </c>
      <c r="D42" s="7" t="s">
        <v>26</v>
      </c>
      <c r="E42" s="8">
        <v>816</v>
      </c>
      <c r="F42" s="8">
        <v>85</v>
      </c>
      <c r="G42" s="8">
        <v>103053.723</v>
      </c>
      <c r="H42" s="8">
        <v>535534.98699999996</v>
      </c>
      <c r="I42" s="8">
        <v>-0.23300000000000001</v>
      </c>
      <c r="J42" s="8">
        <v>-82.996546159999994</v>
      </c>
      <c r="K42" s="8">
        <v>29.16325887</v>
      </c>
      <c r="L42" s="8">
        <v>368</v>
      </c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ht="15" customHeight="1" x14ac:dyDescent="0.2">
      <c r="A43" s="7" t="s">
        <v>67</v>
      </c>
      <c r="B43" s="7" t="s">
        <v>39</v>
      </c>
      <c r="C43" s="7" t="s">
        <v>26</v>
      </c>
      <c r="D43" s="7" t="s">
        <v>28</v>
      </c>
      <c r="E43" s="8">
        <v>16</v>
      </c>
      <c r="F43" s="8">
        <v>1</v>
      </c>
      <c r="G43" s="8">
        <v>103059.394</v>
      </c>
      <c r="H43" s="8">
        <v>535535.58400000003</v>
      </c>
      <c r="I43" s="8">
        <v>-0.32100000000000001</v>
      </c>
      <c r="J43" s="8">
        <v>-82.996487920000007</v>
      </c>
      <c r="K43" s="8">
        <v>29.163264689999998</v>
      </c>
      <c r="L43" s="8">
        <v>368</v>
      </c>
      <c r="M43" s="8">
        <v>0.16</v>
      </c>
      <c r="N43" s="8">
        <v>10.66</v>
      </c>
      <c r="O43" s="8">
        <v>74.06</v>
      </c>
      <c r="P43" s="8">
        <v>8.89</v>
      </c>
      <c r="Q43" s="8">
        <v>1.77</v>
      </c>
      <c r="R43" s="8">
        <v>11.1</v>
      </c>
      <c r="S43" s="8">
        <v>0.43</v>
      </c>
      <c r="T43" s="8">
        <v>0.13</v>
      </c>
      <c r="U43" s="8">
        <v>0.22</v>
      </c>
      <c r="V43" s="8">
        <v>0.22</v>
      </c>
    </row>
    <row r="44" spans="1:22" ht="15" customHeight="1" x14ac:dyDescent="0.2">
      <c r="A44" s="7" t="s">
        <v>68</v>
      </c>
      <c r="B44" s="7" t="s">
        <v>39</v>
      </c>
      <c r="C44" s="7" t="s">
        <v>26</v>
      </c>
      <c r="D44" s="7" t="s">
        <v>28</v>
      </c>
      <c r="E44" s="8">
        <v>0</v>
      </c>
      <c r="F44" s="8">
        <v>0</v>
      </c>
      <c r="G44" s="8">
        <v>103051.959</v>
      </c>
      <c r="H44" s="8">
        <v>535534.897</v>
      </c>
      <c r="I44" s="8">
        <v>-0.27900000000000003</v>
      </c>
      <c r="J44" s="8">
        <v>-82.996564280000001</v>
      </c>
      <c r="K44" s="8">
        <v>29.16325793</v>
      </c>
      <c r="L44" s="8">
        <v>368</v>
      </c>
      <c r="M44" s="8">
        <v>0.13</v>
      </c>
      <c r="N44" s="8">
        <v>11.3</v>
      </c>
      <c r="O44" s="8">
        <v>82.86</v>
      </c>
      <c r="P44" s="8">
        <v>9.94</v>
      </c>
      <c r="Q44" s="8">
        <v>1.36</v>
      </c>
      <c r="R44" s="8">
        <v>10.5</v>
      </c>
      <c r="S44" s="8">
        <v>0.37</v>
      </c>
      <c r="T44" s="8">
        <v>0.21</v>
      </c>
      <c r="U44" s="8">
        <v>0.28000000000000003</v>
      </c>
      <c r="V44" s="8">
        <v>0.14000000000000001</v>
      </c>
    </row>
    <row r="45" spans="1:22" ht="15" customHeight="1" x14ac:dyDescent="0.2">
      <c r="A45" s="7" t="s">
        <v>69</v>
      </c>
      <c r="B45" s="7" t="s">
        <v>25</v>
      </c>
      <c r="C45" s="7" t="s">
        <v>26</v>
      </c>
      <c r="D45" s="7" t="s">
        <v>28</v>
      </c>
      <c r="E45" s="8">
        <v>0</v>
      </c>
      <c r="F45" s="8">
        <v>0</v>
      </c>
      <c r="G45" s="8">
        <v>103068.641</v>
      </c>
      <c r="H45" s="8">
        <v>535535.13</v>
      </c>
      <c r="I45" s="8">
        <v>-0.314</v>
      </c>
      <c r="J45" s="8">
        <v>-82.996392839999999</v>
      </c>
      <c r="K45" s="8">
        <v>29.163261299999998</v>
      </c>
      <c r="L45" s="8">
        <v>771.2</v>
      </c>
      <c r="M45" s="8">
        <v>0.16</v>
      </c>
      <c r="N45" s="8">
        <v>10.51</v>
      </c>
      <c r="O45" s="8">
        <v>75.47</v>
      </c>
      <c r="P45" s="8">
        <v>9.06</v>
      </c>
      <c r="Q45" s="8">
        <v>1.45</v>
      </c>
      <c r="R45" s="8">
        <v>9.1</v>
      </c>
      <c r="S45" s="8">
        <v>0.37</v>
      </c>
      <c r="T45" s="8">
        <v>0.17</v>
      </c>
      <c r="U45" s="8">
        <v>0.25</v>
      </c>
      <c r="V45" s="8">
        <v>0.21</v>
      </c>
    </row>
    <row r="46" spans="1:22" ht="15" customHeight="1" x14ac:dyDescent="0.2">
      <c r="A46" s="7" t="s">
        <v>70</v>
      </c>
      <c r="B46" s="7" t="s">
        <v>25</v>
      </c>
      <c r="C46" s="7" t="s">
        <v>26</v>
      </c>
      <c r="D46" s="7" t="s">
        <v>26</v>
      </c>
      <c r="E46" s="8">
        <v>1424</v>
      </c>
      <c r="F46" s="8">
        <v>85</v>
      </c>
      <c r="G46" s="8">
        <v>103071.673</v>
      </c>
      <c r="H46" s="8">
        <v>535535.39199999999</v>
      </c>
      <c r="I46" s="8">
        <v>-0.26</v>
      </c>
      <c r="J46" s="8">
        <v>-82.996361699999994</v>
      </c>
      <c r="K46" s="8">
        <v>29.1632639</v>
      </c>
      <c r="L46" s="8">
        <v>771.2</v>
      </c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ht="15" customHeight="1" x14ac:dyDescent="0.2">
      <c r="A47" s="7" t="s">
        <v>71</v>
      </c>
      <c r="B47" s="7" t="s">
        <v>25</v>
      </c>
      <c r="C47" s="7" t="s">
        <v>26</v>
      </c>
      <c r="D47" s="7" t="s">
        <v>26</v>
      </c>
      <c r="E47" s="8">
        <v>1152</v>
      </c>
      <c r="F47" s="8">
        <v>100</v>
      </c>
      <c r="G47" s="8">
        <v>103066.878</v>
      </c>
      <c r="H47" s="8">
        <v>535535.022</v>
      </c>
      <c r="I47" s="8">
        <v>-0.26100000000000001</v>
      </c>
      <c r="J47" s="8">
        <v>-82.996410949999998</v>
      </c>
      <c r="K47" s="8">
        <v>29.1632602</v>
      </c>
      <c r="L47" s="8">
        <v>771.2</v>
      </c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ht="15" customHeight="1" x14ac:dyDescent="0.2">
      <c r="A48" s="7" t="s">
        <v>72</v>
      </c>
      <c r="B48" s="7" t="s">
        <v>25</v>
      </c>
      <c r="C48" s="7" t="s">
        <v>26</v>
      </c>
      <c r="D48" s="7" t="s">
        <v>26</v>
      </c>
      <c r="E48" s="8">
        <v>1168</v>
      </c>
      <c r="F48" s="8">
        <v>80</v>
      </c>
      <c r="G48" s="8">
        <v>103065.465</v>
      </c>
      <c r="H48" s="8">
        <v>535536.26100000006</v>
      </c>
      <c r="I48" s="8">
        <v>-0.224</v>
      </c>
      <c r="J48" s="8">
        <v>-82.996425590000001</v>
      </c>
      <c r="K48" s="8">
        <v>29.163271269999999</v>
      </c>
      <c r="L48" s="8">
        <v>771.2</v>
      </c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ht="15" customHeight="1" x14ac:dyDescent="0.2">
      <c r="A49" s="7" t="s">
        <v>73</v>
      </c>
      <c r="B49" s="7" t="s">
        <v>25</v>
      </c>
      <c r="C49" s="7" t="s">
        <v>26</v>
      </c>
      <c r="D49" s="7" t="s">
        <v>28</v>
      </c>
      <c r="E49" s="8">
        <v>112</v>
      </c>
      <c r="F49" s="8">
        <v>2</v>
      </c>
      <c r="G49" s="8">
        <v>103070.476</v>
      </c>
      <c r="H49" s="8">
        <v>535535.28599999996</v>
      </c>
      <c r="I49" s="8">
        <v>-0.29299999999999998</v>
      </c>
      <c r="J49" s="8">
        <v>-82.996374000000003</v>
      </c>
      <c r="K49" s="8">
        <v>29.163262849999999</v>
      </c>
      <c r="L49" s="8">
        <v>771.2</v>
      </c>
      <c r="M49" s="8">
        <v>0.12</v>
      </c>
      <c r="N49" s="8">
        <v>10.9</v>
      </c>
      <c r="O49" s="8">
        <v>81.25</v>
      </c>
      <c r="P49" s="8">
        <v>9.75</v>
      </c>
      <c r="Q49" s="8">
        <v>1.1499999999999999</v>
      </c>
      <c r="R49" s="8">
        <v>9.6</v>
      </c>
      <c r="S49" s="8">
        <v>0.38</v>
      </c>
      <c r="T49" s="8">
        <v>0.17</v>
      </c>
      <c r="U49" s="8">
        <v>0.32</v>
      </c>
      <c r="V49" s="8">
        <v>0.13</v>
      </c>
    </row>
    <row r="50" spans="1:22" ht="15" customHeight="1" x14ac:dyDescent="0.2">
      <c r="A50" s="7" t="s">
        <v>74</v>
      </c>
      <c r="B50" s="7" t="s">
        <v>39</v>
      </c>
      <c r="C50" s="7" t="s">
        <v>26</v>
      </c>
      <c r="D50" s="7" t="s">
        <v>28</v>
      </c>
      <c r="E50" s="8">
        <v>0</v>
      </c>
      <c r="F50" s="8">
        <v>0</v>
      </c>
      <c r="G50" s="8">
        <v>103084.89599999999</v>
      </c>
      <c r="H50" s="8">
        <v>535537.43900000001</v>
      </c>
      <c r="I50" s="8">
        <v>-0.38100000000000001</v>
      </c>
      <c r="J50" s="8">
        <v>-82.996225969999998</v>
      </c>
      <c r="K50" s="8">
        <v>29.163283369999998</v>
      </c>
      <c r="L50" s="8">
        <v>89.6</v>
      </c>
      <c r="M50" s="8">
        <v>0.15</v>
      </c>
      <c r="N50" s="8">
        <v>9.9</v>
      </c>
      <c r="O50" s="8">
        <v>72.78</v>
      </c>
      <c r="P50" s="8">
        <v>8.73</v>
      </c>
      <c r="Q50" s="8">
        <v>1.17</v>
      </c>
      <c r="R50" s="8">
        <v>7.8</v>
      </c>
      <c r="S50" s="8">
        <v>0.31</v>
      </c>
      <c r="T50" s="8">
        <v>0.18</v>
      </c>
      <c r="U50" s="8">
        <v>0.31</v>
      </c>
      <c r="V50" s="8">
        <v>0.2</v>
      </c>
    </row>
    <row r="51" spans="1:22" ht="15" customHeight="1" x14ac:dyDescent="0.2">
      <c r="A51" s="7" t="s">
        <v>75</v>
      </c>
      <c r="B51" s="7" t="s">
        <v>39</v>
      </c>
      <c r="C51" s="7" t="s">
        <v>26</v>
      </c>
      <c r="D51" s="7" t="s">
        <v>26</v>
      </c>
      <c r="E51" s="8">
        <v>448</v>
      </c>
      <c r="F51" s="8">
        <v>60</v>
      </c>
      <c r="G51" s="8">
        <v>103088.613</v>
      </c>
      <c r="H51" s="8">
        <v>535537.68299999996</v>
      </c>
      <c r="I51" s="8">
        <v>-0.27600000000000002</v>
      </c>
      <c r="J51" s="8">
        <v>-82.996187789999993</v>
      </c>
      <c r="K51" s="8">
        <v>29.163285859999998</v>
      </c>
      <c r="L51" s="8">
        <v>89.6</v>
      </c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ht="15" customHeight="1" x14ac:dyDescent="0.2">
      <c r="A52" s="7" t="s">
        <v>76</v>
      </c>
      <c r="B52" s="7" t="s">
        <v>39</v>
      </c>
      <c r="C52" s="7" t="s">
        <v>26</v>
      </c>
      <c r="D52" s="7" t="s">
        <v>28</v>
      </c>
      <c r="E52" s="8">
        <v>0</v>
      </c>
      <c r="F52" s="8">
        <v>0</v>
      </c>
      <c r="G52" s="8">
        <v>103092.175</v>
      </c>
      <c r="H52" s="8">
        <v>535539.10600000003</v>
      </c>
      <c r="I52" s="8">
        <v>-0.30399999999999999</v>
      </c>
      <c r="J52" s="8">
        <v>-82.996151310000002</v>
      </c>
      <c r="K52" s="8">
        <v>29.16329897</v>
      </c>
      <c r="L52" s="8">
        <v>89.6</v>
      </c>
      <c r="M52" s="8">
        <v>0.13</v>
      </c>
      <c r="N52" s="8">
        <v>9.99</v>
      </c>
      <c r="O52" s="8">
        <v>74.680000000000007</v>
      </c>
      <c r="P52" s="8">
        <v>8.9600000000000009</v>
      </c>
      <c r="Q52" s="8">
        <v>1.03</v>
      </c>
      <c r="R52" s="8">
        <v>7.9</v>
      </c>
      <c r="S52" s="8">
        <v>0.21</v>
      </c>
      <c r="T52" s="8">
        <v>0.25</v>
      </c>
      <c r="U52" s="8">
        <v>0.36</v>
      </c>
      <c r="V52" s="8">
        <v>0.18</v>
      </c>
    </row>
    <row r="53" spans="1:22" ht="15" customHeight="1" x14ac:dyDescent="0.2">
      <c r="A53" s="7" t="s">
        <v>77</v>
      </c>
      <c r="B53" s="7" t="s">
        <v>39</v>
      </c>
      <c r="C53" s="7" t="s">
        <v>26</v>
      </c>
      <c r="D53" s="7" t="s">
        <v>28</v>
      </c>
      <c r="E53" s="8">
        <v>0</v>
      </c>
      <c r="F53" s="8">
        <v>0</v>
      </c>
      <c r="G53" s="8">
        <v>103093.569</v>
      </c>
      <c r="H53" s="8">
        <v>535537.92799999996</v>
      </c>
      <c r="I53" s="8">
        <v>-0.39</v>
      </c>
      <c r="J53" s="8">
        <v>-82.996136879999995</v>
      </c>
      <c r="K53" s="8">
        <v>29.16328845</v>
      </c>
      <c r="L53" s="8">
        <v>89.6</v>
      </c>
      <c r="M53" s="8">
        <v>0.13</v>
      </c>
      <c r="N53" s="8">
        <v>9.7899999999999991</v>
      </c>
      <c r="O53" s="8">
        <v>72.180000000000007</v>
      </c>
      <c r="P53" s="8">
        <v>8.66</v>
      </c>
      <c r="Q53" s="8">
        <v>1.1299999999999999</v>
      </c>
      <c r="R53" s="8">
        <v>8.6999999999999993</v>
      </c>
      <c r="S53" s="8">
        <v>0.28000000000000003</v>
      </c>
      <c r="T53" s="8">
        <v>0.16</v>
      </c>
      <c r="U53" s="8">
        <v>0.33</v>
      </c>
      <c r="V53" s="8">
        <v>0.24</v>
      </c>
    </row>
    <row r="54" spans="1:22" ht="15" customHeight="1" x14ac:dyDescent="0.2">
      <c r="A54" s="7" t="s">
        <v>78</v>
      </c>
      <c r="B54" s="7" t="s">
        <v>39</v>
      </c>
      <c r="C54" s="7" t="s">
        <v>26</v>
      </c>
      <c r="D54" s="7" t="s">
        <v>26</v>
      </c>
      <c r="E54" s="8">
        <v>0</v>
      </c>
      <c r="F54" s="8">
        <v>0</v>
      </c>
      <c r="G54" s="8">
        <v>103087.446</v>
      </c>
      <c r="H54" s="8">
        <v>535537.46499999997</v>
      </c>
      <c r="I54" s="8">
        <v>-0.30099999999999999</v>
      </c>
      <c r="J54" s="8">
        <v>-82.996199770000004</v>
      </c>
      <c r="K54" s="8">
        <v>29.163283799999999</v>
      </c>
      <c r="L54" s="8">
        <v>89.6</v>
      </c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ht="15" customHeight="1" x14ac:dyDescent="0.2">
      <c r="A55" s="7" t="s">
        <v>79</v>
      </c>
      <c r="B55" s="7" t="s">
        <v>33</v>
      </c>
      <c r="C55" s="7" t="s">
        <v>28</v>
      </c>
      <c r="D55" s="7" t="s">
        <v>28</v>
      </c>
      <c r="E55" s="8">
        <v>0</v>
      </c>
      <c r="F55" s="8">
        <v>0</v>
      </c>
      <c r="G55" s="8">
        <v>103105.121</v>
      </c>
      <c r="H55" s="8">
        <v>535537.46400000004</v>
      </c>
      <c r="I55" s="8">
        <v>-0.39700000000000002</v>
      </c>
      <c r="J55" s="8">
        <v>-82.996018100000001</v>
      </c>
      <c r="K55" s="8">
        <v>29.16328515</v>
      </c>
      <c r="L55" s="8">
        <v>214.4</v>
      </c>
      <c r="M55" s="8">
        <v>0.18</v>
      </c>
      <c r="N55" s="8">
        <v>10.24</v>
      </c>
      <c r="O55" s="8">
        <v>70.819999999999993</v>
      </c>
      <c r="P55" s="8">
        <v>8.5</v>
      </c>
      <c r="Q55" s="8">
        <v>1.74</v>
      </c>
      <c r="R55" s="8">
        <v>9.6999999999999993</v>
      </c>
      <c r="S55" s="8">
        <v>0.34</v>
      </c>
      <c r="T55" s="8">
        <v>0.14000000000000001</v>
      </c>
      <c r="U55" s="8">
        <v>0.28000000000000003</v>
      </c>
      <c r="V55" s="8">
        <v>0.25</v>
      </c>
    </row>
    <row r="56" spans="1:22" ht="15" customHeight="1" x14ac:dyDescent="0.2">
      <c r="A56" s="7" t="s">
        <v>80</v>
      </c>
      <c r="B56" s="7" t="s">
        <v>33</v>
      </c>
      <c r="C56" s="7" t="s">
        <v>28</v>
      </c>
      <c r="D56" s="7" t="s">
        <v>28</v>
      </c>
      <c r="E56" s="8">
        <v>1072</v>
      </c>
      <c r="F56" s="8">
        <v>70</v>
      </c>
      <c r="G56" s="8">
        <v>103101.72</v>
      </c>
      <c r="H56" s="8">
        <v>535538.97900000005</v>
      </c>
      <c r="I56" s="8">
        <v>-0.314</v>
      </c>
      <c r="J56" s="8">
        <v>-82.996053200000006</v>
      </c>
      <c r="K56" s="8">
        <v>29.163298560000001</v>
      </c>
      <c r="L56" s="8">
        <v>214.4</v>
      </c>
      <c r="M56" s="8">
        <v>0.17</v>
      </c>
      <c r="N56" s="8">
        <v>10.64</v>
      </c>
      <c r="O56" s="8">
        <v>76.48</v>
      </c>
      <c r="P56" s="8">
        <v>9.18</v>
      </c>
      <c r="Q56" s="8">
        <v>1.46</v>
      </c>
      <c r="R56" s="8">
        <v>8.6</v>
      </c>
      <c r="S56" s="8">
        <v>0.44</v>
      </c>
      <c r="T56" s="8">
        <v>0.11</v>
      </c>
      <c r="U56" s="8">
        <v>0.21</v>
      </c>
      <c r="V56" s="8">
        <v>0.23</v>
      </c>
    </row>
    <row r="57" spans="1:22" ht="15" customHeight="1" x14ac:dyDescent="0.2">
      <c r="A57" s="7" t="s">
        <v>81</v>
      </c>
      <c r="B57" s="7" t="s">
        <v>33</v>
      </c>
      <c r="C57" s="7" t="s">
        <v>28</v>
      </c>
      <c r="D57" s="7" t="s">
        <v>28</v>
      </c>
      <c r="E57" s="8">
        <v>0</v>
      </c>
      <c r="F57" s="8">
        <v>0</v>
      </c>
      <c r="G57" s="8">
        <v>103100.379</v>
      </c>
      <c r="H57" s="8">
        <v>535537.804</v>
      </c>
      <c r="I57" s="8">
        <v>-0.39</v>
      </c>
      <c r="J57" s="8">
        <v>-82.996066880000001</v>
      </c>
      <c r="K57" s="8">
        <v>29.163287860000001</v>
      </c>
      <c r="L57" s="8">
        <v>214.4</v>
      </c>
      <c r="M57" s="8">
        <v>0.16</v>
      </c>
      <c r="N57" s="8">
        <v>9.9700000000000006</v>
      </c>
      <c r="O57" s="8">
        <v>69.05</v>
      </c>
      <c r="P57" s="8">
        <v>8.2899999999999991</v>
      </c>
      <c r="Q57" s="8">
        <v>1.68</v>
      </c>
      <c r="R57" s="8">
        <v>10.5</v>
      </c>
      <c r="S57" s="8">
        <v>0.41</v>
      </c>
      <c r="T57" s="8">
        <v>0.13</v>
      </c>
      <c r="U57" s="8">
        <v>0.24</v>
      </c>
      <c r="V57" s="8">
        <v>0.22</v>
      </c>
    </row>
    <row r="58" spans="1:22" ht="15" customHeight="1" x14ac:dyDescent="0.2">
      <c r="A58" s="7" t="s">
        <v>82</v>
      </c>
      <c r="B58" s="7" t="s">
        <v>33</v>
      </c>
      <c r="C58" s="7" t="s">
        <v>28</v>
      </c>
      <c r="D58" s="7" t="s">
        <v>28</v>
      </c>
      <c r="E58" s="8">
        <v>0</v>
      </c>
      <c r="F58" s="8">
        <v>0</v>
      </c>
      <c r="G58" s="8">
        <v>103106.61599999999</v>
      </c>
      <c r="H58" s="8">
        <v>535538.527</v>
      </c>
      <c r="I58" s="8">
        <v>-0.28899999999999998</v>
      </c>
      <c r="J58" s="8">
        <v>-82.996002829999995</v>
      </c>
      <c r="K58" s="8">
        <v>29.16329485</v>
      </c>
      <c r="L58" s="8">
        <v>214.4</v>
      </c>
      <c r="M58" s="8">
        <v>0.19</v>
      </c>
      <c r="N58" s="8">
        <v>10.49</v>
      </c>
      <c r="O58" s="8">
        <v>71.069999999999993</v>
      </c>
      <c r="P58" s="8">
        <v>8.5299999999999994</v>
      </c>
      <c r="Q58" s="8">
        <v>1.96</v>
      </c>
      <c r="R58" s="8">
        <v>10.3</v>
      </c>
      <c r="S58" s="8">
        <v>0.38</v>
      </c>
      <c r="T58" s="8">
        <v>0.1</v>
      </c>
      <c r="U58" s="8">
        <v>0.24</v>
      </c>
      <c r="V58" s="8">
        <v>0.28999999999999998</v>
      </c>
    </row>
    <row r="59" spans="1:22" ht="15" customHeight="1" x14ac:dyDescent="0.2">
      <c r="A59" s="7" t="s">
        <v>83</v>
      </c>
      <c r="B59" s="7" t="s">
        <v>33</v>
      </c>
      <c r="C59" s="7" t="s">
        <v>28</v>
      </c>
      <c r="D59" s="7" t="s">
        <v>28</v>
      </c>
      <c r="E59" s="8">
        <v>0</v>
      </c>
      <c r="F59" s="8">
        <v>0</v>
      </c>
      <c r="G59" s="8">
        <v>103107.701</v>
      </c>
      <c r="H59" s="8">
        <v>535537.19900000002</v>
      </c>
      <c r="I59" s="8">
        <v>-0.38700000000000001</v>
      </c>
      <c r="J59" s="8">
        <v>-82.995991570000001</v>
      </c>
      <c r="K59" s="8">
        <v>29.163282949999999</v>
      </c>
      <c r="L59" s="8">
        <v>214.4</v>
      </c>
      <c r="M59" s="8">
        <v>0.15</v>
      </c>
      <c r="N59" s="8">
        <v>10.62</v>
      </c>
      <c r="O59" s="8">
        <v>73.28</v>
      </c>
      <c r="P59" s="8">
        <v>8.7899999999999991</v>
      </c>
      <c r="Q59" s="8">
        <v>1.83</v>
      </c>
      <c r="R59" s="8">
        <v>12.2</v>
      </c>
      <c r="S59" s="8">
        <v>0.4</v>
      </c>
      <c r="T59" s="8">
        <v>0.12</v>
      </c>
      <c r="U59" s="8">
        <v>0.27</v>
      </c>
      <c r="V59" s="8">
        <v>0.22</v>
      </c>
    </row>
    <row r="60" spans="1:22" ht="15" customHeight="1" x14ac:dyDescent="0.2">
      <c r="A60" s="7" t="s">
        <v>84</v>
      </c>
      <c r="B60" s="7" t="s">
        <v>25</v>
      </c>
      <c r="C60" s="7" t="s">
        <v>26</v>
      </c>
      <c r="D60" s="7" t="s">
        <v>28</v>
      </c>
      <c r="E60" s="8">
        <v>0</v>
      </c>
      <c r="F60" s="8">
        <v>0</v>
      </c>
      <c r="G60" s="8">
        <v>103116.917</v>
      </c>
      <c r="H60" s="8">
        <v>535538.53599999996</v>
      </c>
      <c r="I60" s="8">
        <v>-0.34599999999999997</v>
      </c>
      <c r="J60" s="8">
        <v>-82.995896959999996</v>
      </c>
      <c r="K60" s="8">
        <v>29.163295720000001</v>
      </c>
      <c r="L60" s="8">
        <v>492.8</v>
      </c>
      <c r="M60" s="8">
        <v>0.14000000000000001</v>
      </c>
      <c r="N60" s="8">
        <v>10.7</v>
      </c>
      <c r="O60" s="8">
        <v>78.69</v>
      </c>
      <c r="P60" s="8">
        <v>9.44</v>
      </c>
      <c r="Q60" s="8">
        <v>1.26</v>
      </c>
      <c r="R60" s="8">
        <v>9</v>
      </c>
      <c r="S60" s="8">
        <v>0.27</v>
      </c>
      <c r="T60" s="8">
        <v>0.18</v>
      </c>
      <c r="U60" s="8">
        <v>0.39</v>
      </c>
      <c r="V60" s="8">
        <v>0.16</v>
      </c>
    </row>
    <row r="61" spans="1:22" ht="15" customHeight="1" x14ac:dyDescent="0.2">
      <c r="A61" s="7" t="s">
        <v>85</v>
      </c>
      <c r="B61" s="7" t="s">
        <v>25</v>
      </c>
      <c r="C61" s="7" t="s">
        <v>26</v>
      </c>
      <c r="D61" s="7" t="s">
        <v>26</v>
      </c>
      <c r="E61" s="8">
        <v>1360</v>
      </c>
      <c r="F61" s="8">
        <v>75</v>
      </c>
      <c r="G61" s="8">
        <v>103122.41099999999</v>
      </c>
      <c r="H61" s="8">
        <v>535540.94099999999</v>
      </c>
      <c r="I61" s="8">
        <v>-0.28299999999999997</v>
      </c>
      <c r="J61" s="8">
        <v>-82.995840700000002</v>
      </c>
      <c r="K61" s="8">
        <v>29.16331783</v>
      </c>
      <c r="L61" s="8">
        <v>492.8</v>
      </c>
      <c r="M61" s="8"/>
      <c r="N61" s="8"/>
      <c r="O61" s="8"/>
      <c r="P61" s="8"/>
      <c r="Q61" s="8"/>
      <c r="R61" s="8"/>
      <c r="S61" s="8"/>
      <c r="T61" s="8"/>
      <c r="U61" s="8"/>
      <c r="V61" s="8"/>
    </row>
    <row r="62" spans="1:22" ht="15" customHeight="1" x14ac:dyDescent="0.2">
      <c r="A62" s="7" t="s">
        <v>86</v>
      </c>
      <c r="B62" s="7" t="s">
        <v>25</v>
      </c>
      <c r="C62" s="7" t="s">
        <v>26</v>
      </c>
      <c r="D62" s="7" t="s">
        <v>28</v>
      </c>
      <c r="E62" s="8">
        <v>0</v>
      </c>
      <c r="F62" s="8">
        <v>0</v>
      </c>
      <c r="G62" s="8">
        <v>103115.137</v>
      </c>
      <c r="H62" s="8">
        <v>535539.06299999997</v>
      </c>
      <c r="I62" s="8">
        <v>-0.308</v>
      </c>
      <c r="J62" s="8">
        <v>-82.995915299999993</v>
      </c>
      <c r="K62" s="8">
        <v>29.163300339999999</v>
      </c>
      <c r="L62" s="8">
        <v>492.8</v>
      </c>
      <c r="M62" s="8">
        <v>0.17</v>
      </c>
      <c r="N62" s="8">
        <v>10.8</v>
      </c>
      <c r="O62" s="8">
        <v>76.08</v>
      </c>
      <c r="P62" s="8">
        <v>9.1300000000000008</v>
      </c>
      <c r="Q62" s="8">
        <v>1.67</v>
      </c>
      <c r="R62" s="8">
        <v>9.8000000000000007</v>
      </c>
      <c r="S62" s="8">
        <v>0.34</v>
      </c>
      <c r="T62" s="8">
        <v>0.28999999999999998</v>
      </c>
      <c r="U62" s="8">
        <v>0.22</v>
      </c>
      <c r="V62" s="8">
        <v>0.16</v>
      </c>
    </row>
    <row r="63" spans="1:22" ht="15" customHeight="1" x14ac:dyDescent="0.2">
      <c r="A63" s="7" t="s">
        <v>87</v>
      </c>
      <c r="B63" s="7" t="s">
        <v>25</v>
      </c>
      <c r="C63" s="7" t="s">
        <v>26</v>
      </c>
      <c r="D63" s="7" t="s">
        <v>26</v>
      </c>
      <c r="E63" s="8">
        <v>1104</v>
      </c>
      <c r="F63" s="8">
        <v>100</v>
      </c>
      <c r="G63" s="8">
        <v>103120.84</v>
      </c>
      <c r="H63" s="8">
        <v>535541.54500000004</v>
      </c>
      <c r="I63" s="8">
        <v>-0.189</v>
      </c>
      <c r="J63" s="8">
        <v>-82.995856900000007</v>
      </c>
      <c r="K63" s="8">
        <v>29.163323160000001</v>
      </c>
      <c r="L63" s="8">
        <v>492.8</v>
      </c>
      <c r="M63" s="8"/>
      <c r="N63" s="8"/>
      <c r="O63" s="8"/>
      <c r="P63" s="8"/>
      <c r="Q63" s="8"/>
      <c r="R63" s="8"/>
      <c r="S63" s="8"/>
      <c r="T63" s="8"/>
      <c r="U63" s="8"/>
      <c r="V63" s="8"/>
    </row>
    <row r="64" spans="1:22" ht="15" customHeight="1" x14ac:dyDescent="0.2">
      <c r="A64" s="7" t="s">
        <v>88</v>
      </c>
      <c r="B64" s="7" t="s">
        <v>25</v>
      </c>
      <c r="C64" s="7" t="s">
        <v>26</v>
      </c>
      <c r="D64" s="7" t="s">
        <v>28</v>
      </c>
      <c r="E64" s="8">
        <v>0</v>
      </c>
      <c r="F64" s="8">
        <v>0</v>
      </c>
      <c r="G64" s="8">
        <v>103119.683</v>
      </c>
      <c r="H64" s="8">
        <v>535541.21400000004</v>
      </c>
      <c r="I64" s="8">
        <v>-0.26900000000000002</v>
      </c>
      <c r="J64" s="8">
        <v>-82.995868759999993</v>
      </c>
      <c r="K64" s="8">
        <v>29.163320089999999</v>
      </c>
      <c r="L64" s="8">
        <v>492.8</v>
      </c>
      <c r="M64" s="8">
        <v>0.16</v>
      </c>
      <c r="N64" s="8">
        <v>10.71</v>
      </c>
      <c r="O64" s="8">
        <v>75.66</v>
      </c>
      <c r="P64" s="8">
        <v>9.08</v>
      </c>
      <c r="Q64" s="8">
        <v>1.63</v>
      </c>
      <c r="R64" s="8">
        <v>10.199999999999999</v>
      </c>
      <c r="S64" s="8">
        <v>0.4</v>
      </c>
      <c r="T64" s="8">
        <v>0.17</v>
      </c>
      <c r="U64" s="8">
        <v>0.27</v>
      </c>
      <c r="V64" s="8">
        <v>0.15</v>
      </c>
    </row>
    <row r="65" spans="1:22" ht="15" customHeight="1" x14ac:dyDescent="0.2">
      <c r="A65" s="7" t="s">
        <v>89</v>
      </c>
      <c r="B65" s="7" t="s">
        <v>25</v>
      </c>
      <c r="C65" s="7" t="s">
        <v>26</v>
      </c>
      <c r="D65" s="7" t="s">
        <v>28</v>
      </c>
      <c r="E65" s="8">
        <v>0</v>
      </c>
      <c r="F65" s="8">
        <v>0</v>
      </c>
      <c r="G65" s="8">
        <v>103134.774</v>
      </c>
      <c r="H65" s="8">
        <v>535545.49</v>
      </c>
      <c r="I65" s="8">
        <v>-0.32200000000000001</v>
      </c>
      <c r="J65" s="8">
        <v>-82.995714019999994</v>
      </c>
      <c r="K65" s="8">
        <v>29.16335982</v>
      </c>
      <c r="L65" s="8">
        <v>460.8</v>
      </c>
      <c r="M65" s="8">
        <v>0.15</v>
      </c>
      <c r="N65" s="8">
        <v>10.51</v>
      </c>
      <c r="O65" s="8">
        <v>77.12</v>
      </c>
      <c r="P65" s="8">
        <v>9.25</v>
      </c>
      <c r="Q65" s="8">
        <v>1.26</v>
      </c>
      <c r="R65" s="8">
        <v>8.4</v>
      </c>
      <c r="S65" s="8">
        <v>0.31</v>
      </c>
      <c r="T65" s="8">
        <v>0.16</v>
      </c>
      <c r="U65" s="8">
        <v>0.36</v>
      </c>
      <c r="V65" s="8">
        <v>0.17</v>
      </c>
    </row>
    <row r="66" spans="1:22" ht="15" customHeight="1" x14ac:dyDescent="0.2">
      <c r="A66" s="7" t="s">
        <v>90</v>
      </c>
      <c r="B66" s="7" t="s">
        <v>25</v>
      </c>
      <c r="C66" s="7" t="s">
        <v>26</v>
      </c>
      <c r="D66" s="7" t="s">
        <v>28</v>
      </c>
      <c r="E66" s="8">
        <v>0</v>
      </c>
      <c r="F66" s="8">
        <v>0</v>
      </c>
      <c r="G66" s="8">
        <v>103129.704</v>
      </c>
      <c r="H66" s="8">
        <v>535544.73100000003</v>
      </c>
      <c r="I66" s="8">
        <v>-0.28799999999999998</v>
      </c>
      <c r="J66" s="8">
        <v>-82.995766070000002</v>
      </c>
      <c r="K66" s="8">
        <v>29.163352589999999</v>
      </c>
      <c r="L66" s="8">
        <v>460.8</v>
      </c>
      <c r="M66" s="8">
        <v>0.14000000000000001</v>
      </c>
      <c r="N66" s="8">
        <v>10.84</v>
      </c>
      <c r="O66" s="8">
        <v>79</v>
      </c>
      <c r="P66" s="8">
        <v>9.48</v>
      </c>
      <c r="Q66" s="8">
        <v>1.36</v>
      </c>
      <c r="R66" s="8">
        <v>9.6999999999999993</v>
      </c>
      <c r="S66" s="8">
        <v>0.23</v>
      </c>
      <c r="T66" s="8">
        <v>0.23</v>
      </c>
      <c r="U66" s="8">
        <v>0.39</v>
      </c>
      <c r="V66" s="8">
        <v>0.15</v>
      </c>
    </row>
    <row r="67" spans="1:22" ht="15" customHeight="1" x14ac:dyDescent="0.2">
      <c r="A67" s="7" t="s">
        <v>91</v>
      </c>
      <c r="B67" s="7" t="s">
        <v>25</v>
      </c>
      <c r="C67" s="7" t="s">
        <v>26</v>
      </c>
      <c r="D67" s="7" t="s">
        <v>28</v>
      </c>
      <c r="E67" s="8">
        <v>16</v>
      </c>
      <c r="F67" s="8">
        <v>1</v>
      </c>
      <c r="G67" s="8">
        <v>103130.54399999999</v>
      </c>
      <c r="H67" s="8">
        <v>535546.28899999999</v>
      </c>
      <c r="I67" s="8">
        <v>-0.29699999999999999</v>
      </c>
      <c r="J67" s="8">
        <v>-82.995757569999995</v>
      </c>
      <c r="K67" s="8">
        <v>29.163366700000001</v>
      </c>
      <c r="L67" s="8">
        <v>460.8</v>
      </c>
      <c r="M67" s="8">
        <v>0.15</v>
      </c>
      <c r="N67" s="8">
        <v>10.33</v>
      </c>
      <c r="O67" s="8">
        <v>73.989999999999995</v>
      </c>
      <c r="P67" s="8">
        <v>8.8800000000000008</v>
      </c>
      <c r="Q67" s="8">
        <v>1.45</v>
      </c>
      <c r="R67" s="8">
        <v>9.6999999999999993</v>
      </c>
      <c r="S67" s="8">
        <v>0.33</v>
      </c>
      <c r="T67" s="8">
        <v>0.26</v>
      </c>
      <c r="U67" s="8">
        <v>0.24</v>
      </c>
      <c r="V67" s="8">
        <v>0.17</v>
      </c>
    </row>
    <row r="68" spans="1:22" ht="15" customHeight="1" x14ac:dyDescent="0.2">
      <c r="A68" s="7" t="s">
        <v>92</v>
      </c>
      <c r="B68" s="7" t="s">
        <v>25</v>
      </c>
      <c r="C68" s="7" t="s">
        <v>26</v>
      </c>
      <c r="D68" s="7" t="s">
        <v>26</v>
      </c>
      <c r="E68" s="8">
        <v>864</v>
      </c>
      <c r="F68" s="8">
        <v>85</v>
      </c>
      <c r="G68" s="8">
        <v>103128.409</v>
      </c>
      <c r="H68" s="8">
        <v>535544.152</v>
      </c>
      <c r="I68" s="8">
        <v>-0.23300000000000001</v>
      </c>
      <c r="J68" s="8">
        <v>-82.995779330000005</v>
      </c>
      <c r="K68" s="8">
        <v>29.163347259999998</v>
      </c>
      <c r="L68" s="8">
        <v>460.8</v>
      </c>
      <c r="M68" s="8"/>
      <c r="N68" s="8"/>
      <c r="O68" s="8"/>
      <c r="P68" s="8"/>
      <c r="Q68" s="8"/>
      <c r="R68" s="8"/>
      <c r="S68" s="8"/>
      <c r="T68" s="8"/>
      <c r="U68" s="8"/>
      <c r="V68" s="8"/>
    </row>
    <row r="69" spans="1:22" ht="15" customHeight="1" x14ac:dyDescent="0.2">
      <c r="A69" s="7" t="s">
        <v>93</v>
      </c>
      <c r="B69" s="7" t="s">
        <v>25</v>
      </c>
      <c r="C69" s="7" t="s">
        <v>26</v>
      </c>
      <c r="D69" s="7" t="s">
        <v>26</v>
      </c>
      <c r="E69" s="8">
        <v>1424</v>
      </c>
      <c r="F69" s="8">
        <v>100</v>
      </c>
      <c r="G69" s="8">
        <v>103135.683</v>
      </c>
      <c r="H69" s="8">
        <v>535546.01300000004</v>
      </c>
      <c r="I69" s="8">
        <v>-0.24199999999999999</v>
      </c>
      <c r="J69" s="8">
        <v>-82.99570473</v>
      </c>
      <c r="K69" s="8">
        <v>29.163364600000001</v>
      </c>
      <c r="L69" s="8">
        <v>460.8</v>
      </c>
      <c r="M69" s="8"/>
      <c r="N69" s="8"/>
      <c r="O69" s="8"/>
      <c r="P69" s="8"/>
      <c r="Q69" s="8"/>
      <c r="R69" s="8"/>
      <c r="S69" s="8"/>
      <c r="T69" s="8"/>
      <c r="U69" s="8"/>
      <c r="V69" s="8"/>
    </row>
    <row r="70" spans="1:22" ht="15" customHeight="1" x14ac:dyDescent="0.2">
      <c r="A70" s="7" t="s">
        <v>94</v>
      </c>
      <c r="B70" s="7" t="s">
        <v>39</v>
      </c>
      <c r="C70" s="7" t="s">
        <v>26</v>
      </c>
      <c r="D70" s="7" t="s">
        <v>26</v>
      </c>
      <c r="E70" s="8">
        <v>1200</v>
      </c>
      <c r="F70" s="8">
        <v>80</v>
      </c>
      <c r="G70" s="8">
        <v>103143.874</v>
      </c>
      <c r="H70" s="8">
        <v>535546.21299999999</v>
      </c>
      <c r="I70" s="8">
        <v>-0.245</v>
      </c>
      <c r="J70" s="8">
        <v>-82.995620560000006</v>
      </c>
      <c r="K70" s="8">
        <v>29.16336703</v>
      </c>
      <c r="L70" s="8">
        <v>425.6</v>
      </c>
      <c r="M70" s="8"/>
      <c r="N70" s="8"/>
      <c r="O70" s="8"/>
      <c r="P70" s="8"/>
      <c r="Q70" s="8"/>
      <c r="R70" s="8"/>
      <c r="S70" s="8"/>
      <c r="T70" s="8"/>
      <c r="U70" s="8"/>
      <c r="V70" s="8"/>
    </row>
    <row r="71" spans="1:22" ht="15" customHeight="1" x14ac:dyDescent="0.2">
      <c r="A71" s="7" t="s">
        <v>95</v>
      </c>
      <c r="B71" s="7" t="s">
        <v>39</v>
      </c>
      <c r="C71" s="7" t="s">
        <v>26</v>
      </c>
      <c r="D71" s="7" t="s">
        <v>28</v>
      </c>
      <c r="E71" s="8">
        <v>0</v>
      </c>
      <c r="F71" s="8">
        <v>0</v>
      </c>
      <c r="G71" s="8">
        <v>103149.74800000001</v>
      </c>
      <c r="H71" s="8">
        <v>535546.14800000004</v>
      </c>
      <c r="I71" s="8">
        <v>-0.33400000000000002</v>
      </c>
      <c r="J71" s="8">
        <v>-82.995560179999998</v>
      </c>
      <c r="K71" s="8">
        <v>29.163366889999999</v>
      </c>
      <c r="L71" s="8">
        <v>425.6</v>
      </c>
      <c r="M71" s="8">
        <v>0.12</v>
      </c>
      <c r="N71" s="8">
        <v>11.1</v>
      </c>
      <c r="O71" s="8">
        <v>80.150000000000006</v>
      </c>
      <c r="P71" s="8">
        <v>9.6199999999999992</v>
      </c>
      <c r="Q71" s="8">
        <v>1.48</v>
      </c>
      <c r="R71" s="8">
        <v>12.3</v>
      </c>
      <c r="S71" s="8">
        <v>0.33</v>
      </c>
      <c r="T71" s="8">
        <v>0.19</v>
      </c>
      <c r="U71" s="8">
        <v>0.3</v>
      </c>
      <c r="V71" s="8">
        <v>0.18</v>
      </c>
    </row>
    <row r="72" spans="1:22" ht="15" customHeight="1" x14ac:dyDescent="0.2">
      <c r="A72" s="7" t="s">
        <v>96</v>
      </c>
      <c r="B72" s="7" t="s">
        <v>39</v>
      </c>
      <c r="C72" s="7" t="s">
        <v>26</v>
      </c>
      <c r="D72" s="7" t="s">
        <v>28</v>
      </c>
      <c r="E72" s="8">
        <v>0</v>
      </c>
      <c r="F72" s="8">
        <v>0</v>
      </c>
      <c r="G72" s="8">
        <v>103142.467</v>
      </c>
      <c r="H72" s="8">
        <v>535547.42799999996</v>
      </c>
      <c r="I72" s="8">
        <v>-0.28000000000000003</v>
      </c>
      <c r="J72" s="8">
        <v>-82.995635129999997</v>
      </c>
      <c r="K72" s="8">
        <v>29.16337789</v>
      </c>
      <c r="L72" s="8">
        <v>425.6</v>
      </c>
      <c r="M72" s="8">
        <v>0.11</v>
      </c>
      <c r="N72" s="8">
        <v>10.99</v>
      </c>
      <c r="O72" s="8">
        <v>78.55</v>
      </c>
      <c r="P72" s="8">
        <v>9.43</v>
      </c>
      <c r="Q72" s="8">
        <v>1.56</v>
      </c>
      <c r="R72" s="8">
        <v>14.2</v>
      </c>
      <c r="S72" s="8">
        <v>0.32</v>
      </c>
      <c r="T72" s="8">
        <v>0.21</v>
      </c>
      <c r="U72" s="8">
        <v>0.28999999999999998</v>
      </c>
      <c r="V72" s="8">
        <v>0.18</v>
      </c>
    </row>
    <row r="73" spans="1:22" ht="15" customHeight="1" x14ac:dyDescent="0.2">
      <c r="A73" s="7" t="s">
        <v>97</v>
      </c>
      <c r="B73" s="7" t="s">
        <v>39</v>
      </c>
      <c r="C73" s="7" t="s">
        <v>26</v>
      </c>
      <c r="D73" s="7" t="s">
        <v>28</v>
      </c>
      <c r="E73" s="8">
        <v>192</v>
      </c>
      <c r="F73" s="8">
        <v>15</v>
      </c>
      <c r="G73" s="8">
        <v>103148.97100000001</v>
      </c>
      <c r="H73" s="8">
        <v>535546.57200000004</v>
      </c>
      <c r="I73" s="8">
        <v>-0.28199999999999997</v>
      </c>
      <c r="J73" s="8">
        <v>-82.995568199999994</v>
      </c>
      <c r="K73" s="8">
        <v>29.163370669999999</v>
      </c>
      <c r="L73" s="8">
        <v>425.6</v>
      </c>
      <c r="M73" s="8">
        <v>0.11</v>
      </c>
      <c r="N73" s="8">
        <v>11.1</v>
      </c>
      <c r="O73" s="8">
        <v>81.150000000000006</v>
      </c>
      <c r="P73" s="8">
        <v>9.74</v>
      </c>
      <c r="Q73" s="8">
        <v>1.36</v>
      </c>
      <c r="R73" s="8">
        <v>12.4</v>
      </c>
      <c r="S73" s="8">
        <v>0.28000000000000003</v>
      </c>
      <c r="T73" s="8">
        <v>0.21</v>
      </c>
      <c r="U73" s="8">
        <v>0.38</v>
      </c>
      <c r="V73" s="8">
        <v>0.12</v>
      </c>
    </row>
    <row r="74" spans="1:22" ht="15" customHeight="1" x14ac:dyDescent="0.2">
      <c r="A74" s="7" t="s">
        <v>98</v>
      </c>
      <c r="B74" s="7" t="s">
        <v>39</v>
      </c>
      <c r="C74" s="7" t="s">
        <v>26</v>
      </c>
      <c r="D74" s="7" t="s">
        <v>26</v>
      </c>
      <c r="E74" s="8">
        <v>736</v>
      </c>
      <c r="F74" s="8">
        <v>45</v>
      </c>
      <c r="G74" s="8">
        <v>103147.50199999999</v>
      </c>
      <c r="H74" s="8">
        <v>535547.67200000002</v>
      </c>
      <c r="I74" s="8">
        <v>-0.19600000000000001</v>
      </c>
      <c r="J74" s="8">
        <v>-82.995583400000001</v>
      </c>
      <c r="K74" s="8">
        <v>29.163380480000001</v>
      </c>
      <c r="L74" s="8">
        <v>425.6</v>
      </c>
      <c r="M74" s="8"/>
      <c r="N74" s="8"/>
      <c r="O74" s="8"/>
      <c r="P74" s="8"/>
      <c r="Q74" s="8"/>
      <c r="R74" s="8"/>
      <c r="S74" s="8"/>
      <c r="T74" s="8"/>
      <c r="U74" s="8"/>
      <c r="V74" s="8"/>
    </row>
    <row r="75" spans="1:22" ht="15" customHeight="1" x14ac:dyDescent="0.2">
      <c r="A75" s="7" t="s">
        <v>99</v>
      </c>
      <c r="B75" s="7" t="s">
        <v>33</v>
      </c>
      <c r="C75" s="7" t="s">
        <v>28</v>
      </c>
      <c r="D75" s="7" t="s">
        <v>28</v>
      </c>
      <c r="E75" s="8">
        <v>32</v>
      </c>
      <c r="F75" s="8">
        <v>1</v>
      </c>
      <c r="G75" s="8">
        <v>103158.308</v>
      </c>
      <c r="H75" s="8">
        <v>535543.71400000004</v>
      </c>
      <c r="I75" s="8">
        <v>-0.37</v>
      </c>
      <c r="J75" s="8">
        <v>-82.995471989999999</v>
      </c>
      <c r="K75" s="8">
        <v>29.163345589999999</v>
      </c>
      <c r="L75" s="8">
        <v>6.4</v>
      </c>
      <c r="M75" s="8">
        <v>0.13</v>
      </c>
      <c r="N75" s="8">
        <v>10.84</v>
      </c>
      <c r="O75" s="8">
        <v>78.180000000000007</v>
      </c>
      <c r="P75" s="8">
        <v>9.3800000000000008</v>
      </c>
      <c r="Q75" s="8">
        <v>1.46</v>
      </c>
      <c r="R75" s="8">
        <v>11.2</v>
      </c>
      <c r="S75" s="8">
        <v>0.37</v>
      </c>
      <c r="T75" s="8">
        <v>0.17</v>
      </c>
      <c r="U75" s="8">
        <v>0.3</v>
      </c>
      <c r="V75" s="8">
        <v>0.16</v>
      </c>
    </row>
    <row r="76" spans="1:22" ht="15" customHeight="1" x14ac:dyDescent="0.2">
      <c r="A76" s="7" t="s">
        <v>100</v>
      </c>
      <c r="B76" s="7" t="s">
        <v>33</v>
      </c>
      <c r="C76" s="7" t="s">
        <v>28</v>
      </c>
      <c r="D76" s="7" t="s">
        <v>28</v>
      </c>
      <c r="E76" s="8">
        <v>0</v>
      </c>
      <c r="F76" s="8">
        <v>0</v>
      </c>
      <c r="G76" s="8">
        <v>103161.13800000001</v>
      </c>
      <c r="H76" s="8">
        <v>535543.90399999998</v>
      </c>
      <c r="I76" s="8">
        <v>-0.34499999999999997</v>
      </c>
      <c r="J76" s="8">
        <v>-82.995442920000002</v>
      </c>
      <c r="K76" s="8">
        <v>29.163347519999999</v>
      </c>
      <c r="L76" s="8">
        <v>6.4</v>
      </c>
      <c r="M76" s="8">
        <v>0.14000000000000001</v>
      </c>
      <c r="N76" s="8">
        <v>11.05</v>
      </c>
      <c r="O76" s="8">
        <v>77.22</v>
      </c>
      <c r="P76" s="8">
        <v>9.27</v>
      </c>
      <c r="Q76" s="8">
        <v>1.78</v>
      </c>
      <c r="R76" s="8">
        <v>12.7</v>
      </c>
      <c r="S76" s="8">
        <v>0.36</v>
      </c>
      <c r="T76" s="8">
        <v>0.14000000000000001</v>
      </c>
      <c r="U76" s="8">
        <v>0.27</v>
      </c>
      <c r="V76" s="8">
        <v>0.22</v>
      </c>
    </row>
    <row r="77" spans="1:22" ht="15" customHeight="1" x14ac:dyDescent="0.2">
      <c r="A77" s="7" t="s">
        <v>101</v>
      </c>
      <c r="B77" s="7" t="s">
        <v>33</v>
      </c>
      <c r="C77" s="7" t="s">
        <v>28</v>
      </c>
      <c r="D77" s="7" t="s">
        <v>28</v>
      </c>
      <c r="E77" s="8">
        <v>0</v>
      </c>
      <c r="F77" s="8">
        <v>0</v>
      </c>
      <c r="G77" s="8">
        <v>103161.823</v>
      </c>
      <c r="H77" s="8">
        <v>535542.08799999999</v>
      </c>
      <c r="I77" s="8">
        <v>-0.39800000000000002</v>
      </c>
      <c r="J77" s="8">
        <v>-82.995435720000003</v>
      </c>
      <c r="K77" s="8">
        <v>29.163331199999998</v>
      </c>
      <c r="L77" s="8">
        <v>6.4</v>
      </c>
      <c r="M77" s="8">
        <v>0.16</v>
      </c>
      <c r="N77" s="8">
        <v>10.71</v>
      </c>
      <c r="O77" s="8">
        <v>73.05</v>
      </c>
      <c r="P77" s="8">
        <v>8.77</v>
      </c>
      <c r="Q77" s="8">
        <v>1.94</v>
      </c>
      <c r="R77" s="8">
        <v>12.1</v>
      </c>
      <c r="S77" s="8">
        <v>0.41</v>
      </c>
      <c r="T77" s="8">
        <v>0.16</v>
      </c>
      <c r="U77" s="8">
        <v>0.19</v>
      </c>
      <c r="V77" s="8">
        <v>0.24</v>
      </c>
    </row>
    <row r="78" spans="1:22" ht="15" customHeight="1" x14ac:dyDescent="0.2">
      <c r="A78" s="7" t="s">
        <v>102</v>
      </c>
      <c r="B78" s="7" t="s">
        <v>33</v>
      </c>
      <c r="C78" s="7" t="s">
        <v>28</v>
      </c>
      <c r="D78" s="7" t="s">
        <v>28</v>
      </c>
      <c r="E78" s="8">
        <v>0</v>
      </c>
      <c r="F78" s="8">
        <v>0</v>
      </c>
      <c r="G78" s="8">
        <v>103157.44500000001</v>
      </c>
      <c r="H78" s="8">
        <v>535544.17099999997</v>
      </c>
      <c r="I78" s="8">
        <v>-0.371</v>
      </c>
      <c r="J78" s="8">
        <v>-82.995480900000004</v>
      </c>
      <c r="K78" s="8">
        <v>29.163349650000001</v>
      </c>
      <c r="L78" s="8">
        <v>6.4</v>
      </c>
      <c r="M78" s="8">
        <v>0.13</v>
      </c>
      <c r="N78" s="8">
        <v>10.63</v>
      </c>
      <c r="O78" s="8">
        <v>76.11</v>
      </c>
      <c r="P78" s="8">
        <v>9.1300000000000008</v>
      </c>
      <c r="Q78" s="8">
        <v>1.5</v>
      </c>
      <c r="R78" s="8">
        <v>11.5</v>
      </c>
      <c r="S78" s="8">
        <v>0.31</v>
      </c>
      <c r="T78" s="8">
        <v>0.2</v>
      </c>
      <c r="U78" s="8">
        <v>0.28999999999999998</v>
      </c>
      <c r="V78" s="8">
        <v>0.21</v>
      </c>
    </row>
    <row r="79" spans="1:22" ht="15" customHeight="1" x14ac:dyDescent="0.2">
      <c r="A79" s="7" t="s">
        <v>103</v>
      </c>
      <c r="B79" s="7" t="s">
        <v>33</v>
      </c>
      <c r="C79" s="7" t="s">
        <v>28</v>
      </c>
      <c r="D79" s="7" t="s">
        <v>28</v>
      </c>
      <c r="E79" s="8">
        <v>0</v>
      </c>
      <c r="F79" s="8">
        <v>0</v>
      </c>
      <c r="G79" s="8">
        <v>103155.17200000001</v>
      </c>
      <c r="H79" s="8">
        <v>535545.26300000004</v>
      </c>
      <c r="I79" s="8">
        <v>-0.35799999999999998</v>
      </c>
      <c r="J79" s="8">
        <v>-82.995504359999998</v>
      </c>
      <c r="K79" s="8">
        <v>29.163359329999999</v>
      </c>
      <c r="L79" s="8">
        <v>6.4</v>
      </c>
      <c r="M79" s="8">
        <v>0.09</v>
      </c>
      <c r="N79" s="8">
        <v>11.14</v>
      </c>
      <c r="O79" s="8">
        <v>80</v>
      </c>
      <c r="P79" s="8">
        <v>9.6</v>
      </c>
      <c r="Q79" s="8">
        <v>1.54</v>
      </c>
      <c r="R79" s="8">
        <v>17.100000000000001</v>
      </c>
      <c r="S79" s="8">
        <v>0.34</v>
      </c>
      <c r="T79" s="8">
        <v>0.2</v>
      </c>
      <c r="U79" s="8">
        <v>0.27</v>
      </c>
      <c r="V79" s="8">
        <v>0.19</v>
      </c>
    </row>
  </sheetData>
  <autoFilter ref="A4:V4" xr:uid="{00000000-0009-0000-0000-000000000000}"/>
  <mergeCells count="2">
    <mergeCell ref="A1:V1"/>
    <mergeCell ref="A2:V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zoomScale="169" zoomScaleNormal="169" workbookViewId="0">
      <pane ySplit="4" topLeftCell="A5" activePane="bottomLeft" state="frozen"/>
      <selection pane="bottomLeft" sqref="A1:H1"/>
    </sheetView>
  </sheetViews>
  <sheetFormatPr baseColWidth="10" defaultColWidth="8.6640625" defaultRowHeight="15" x14ac:dyDescent="0.2"/>
  <cols>
    <col min="1" max="1" width="26" customWidth="1"/>
    <col min="2" max="2" width="14" customWidth="1"/>
    <col min="3" max="7" width="12" customWidth="1"/>
    <col min="8" max="8" width="34" customWidth="1"/>
  </cols>
  <sheetData>
    <row r="1" spans="1:8" ht="17.25" customHeight="1" x14ac:dyDescent="0.2">
      <c r="A1" s="4" t="s">
        <v>104</v>
      </c>
      <c r="B1" s="4"/>
      <c r="C1" s="4"/>
      <c r="D1" s="4"/>
      <c r="E1" s="4"/>
      <c r="F1" s="4"/>
      <c r="G1" s="4"/>
      <c r="H1" s="4"/>
    </row>
    <row r="2" spans="1:8" ht="15" customHeight="1" x14ac:dyDescent="0.2">
      <c r="A2" s="3" t="s">
        <v>105</v>
      </c>
      <c r="B2" s="3"/>
      <c r="C2" s="3"/>
      <c r="D2" s="3"/>
      <c r="E2" s="3"/>
      <c r="F2" s="3"/>
      <c r="G2" s="3"/>
      <c r="H2" s="3"/>
    </row>
    <row r="4" spans="1:8" ht="15" customHeight="1" x14ac:dyDescent="0.2">
      <c r="A4" s="6" t="s">
        <v>106</v>
      </c>
      <c r="B4" s="6" t="s">
        <v>107</v>
      </c>
      <c r="C4" s="6" t="s">
        <v>108</v>
      </c>
      <c r="D4" s="6" t="s">
        <v>109</v>
      </c>
      <c r="E4" s="6" t="s">
        <v>110</v>
      </c>
      <c r="F4" s="6" t="s">
        <v>111</v>
      </c>
      <c r="G4" s="6" t="s">
        <v>112</v>
      </c>
      <c r="H4" s="6" t="s">
        <v>113</v>
      </c>
    </row>
    <row r="5" spans="1:8" ht="15" customHeight="1" x14ac:dyDescent="0.2">
      <c r="A5" s="9" t="s">
        <v>6</v>
      </c>
      <c r="B5" s="10">
        <f>COUNT('Raw Data'!E5:E79)</f>
        <v>75</v>
      </c>
      <c r="C5" s="11">
        <f>AVERAGE('Raw Data'!E5:E79)</f>
        <v>355.2</v>
      </c>
      <c r="D5" s="11">
        <f>STDEV('Raw Data'!E5:E79)</f>
        <v>564.9694562420932</v>
      </c>
      <c r="E5" s="11">
        <f>MIN('Raw Data'!E5:E79)</f>
        <v>0</v>
      </c>
      <c r="F5" s="11">
        <f>MEDIAN('Raw Data'!E5:E79)</f>
        <v>0</v>
      </c>
      <c r="G5" s="11">
        <f>MAX('Raw Data'!E5:E79)</f>
        <v>2176</v>
      </c>
      <c r="H5" s="12" t="s">
        <v>114</v>
      </c>
    </row>
    <row r="6" spans="1:8" ht="15" customHeight="1" x14ac:dyDescent="0.2">
      <c r="A6" s="13" t="s">
        <v>7</v>
      </c>
      <c r="B6" s="14">
        <f>COUNT('Raw Data'!F5:F79)</f>
        <v>75</v>
      </c>
      <c r="C6" s="15">
        <f>AVERAGE('Raw Data'!F5:F79)</f>
        <v>24.346666666666668</v>
      </c>
      <c r="D6" s="15">
        <f>STDEV('Raw Data'!F5:F79)</f>
        <v>38.194202663717398</v>
      </c>
      <c r="E6" s="15">
        <f>MIN('Raw Data'!F5:F79)</f>
        <v>0</v>
      </c>
      <c r="F6" s="15">
        <f>MEDIAN('Raw Data'!F5:F79)</f>
        <v>0</v>
      </c>
      <c r="G6" s="15">
        <f>MAX('Raw Data'!F5:F79)</f>
        <v>100</v>
      </c>
      <c r="H6" s="16" t="s">
        <v>115</v>
      </c>
    </row>
    <row r="7" spans="1:8" ht="15" customHeight="1" x14ac:dyDescent="0.2">
      <c r="A7" s="9" t="s">
        <v>10</v>
      </c>
      <c r="B7" s="10">
        <f>COUNT('Raw Data'!I5:I79)</f>
        <v>75</v>
      </c>
      <c r="C7" s="11">
        <f>AVERAGE('Raw Data'!I5:I79)</f>
        <v>-0.30206666666666671</v>
      </c>
      <c r="D7" s="11">
        <f>STDEV('Raw Data'!I5:I79)</f>
        <v>6.0535523038539298E-2</v>
      </c>
      <c r="E7" s="11">
        <f>MIN('Raw Data'!I5:I79)</f>
        <v>-0.41599999999999998</v>
      </c>
      <c r="F7" s="11">
        <f>MEDIAN('Raw Data'!I5:I79)</f>
        <v>-0.308</v>
      </c>
      <c r="G7" s="11">
        <f>MAX('Raw Data'!I5:I79)</f>
        <v>-0.17499999999999999</v>
      </c>
      <c r="H7" s="12" t="s">
        <v>116</v>
      </c>
    </row>
    <row r="8" spans="1:8" ht="15" customHeight="1" x14ac:dyDescent="0.2">
      <c r="A8" s="13" t="s">
        <v>13</v>
      </c>
      <c r="B8" s="14">
        <f>COUNT('Raw Data'!L5:L79)</f>
        <v>75</v>
      </c>
      <c r="C8" s="15">
        <f>AVERAGE('Raw Data'!L5:L79)</f>
        <v>355.19999999999987</v>
      </c>
      <c r="D8" s="15">
        <f>STDEV('Raw Data'!L5:L79)</f>
        <v>308.95534532583412</v>
      </c>
      <c r="E8" s="15">
        <f>MIN('Raw Data'!L5:L79)</f>
        <v>0</v>
      </c>
      <c r="F8" s="15">
        <f>MEDIAN('Raw Data'!L5:L79)</f>
        <v>425.6</v>
      </c>
      <c r="G8" s="15">
        <f>MAX('Raw Data'!L5:L79)</f>
        <v>1116.8</v>
      </c>
      <c r="H8" s="16" t="s">
        <v>117</v>
      </c>
    </row>
    <row r="9" spans="1:8" ht="15" customHeight="1" x14ac:dyDescent="0.2">
      <c r="A9" s="9" t="s">
        <v>14</v>
      </c>
      <c r="B9" s="10">
        <f>COUNT('Raw Data'!M5:M79)</f>
        <v>51</v>
      </c>
      <c r="C9" s="11">
        <f>AVERAGE('Raw Data'!M5:M79)</f>
        <v>0.15745098039215691</v>
      </c>
      <c r="D9" s="11">
        <f>STDEV('Raw Data'!M5:M79)</f>
        <v>3.8927786335978258E-2</v>
      </c>
      <c r="E9" s="11">
        <f>MIN('Raw Data'!M5:M79)</f>
        <v>0.09</v>
      </c>
      <c r="F9" s="11">
        <f>MEDIAN('Raw Data'!M5:M79)</f>
        <v>0.15</v>
      </c>
      <c r="G9" s="11">
        <f>MAX('Raw Data'!M5:M79)</f>
        <v>0.26</v>
      </c>
      <c r="H9" s="12" t="s">
        <v>118</v>
      </c>
    </row>
    <row r="10" spans="1:8" ht="15" customHeight="1" x14ac:dyDescent="0.2">
      <c r="A10" s="13" t="s">
        <v>15</v>
      </c>
      <c r="B10" s="14">
        <f>COUNT('Raw Data'!N5:N79)</f>
        <v>51</v>
      </c>
      <c r="C10" s="15">
        <f>AVERAGE('Raw Data'!N5:N79)</f>
        <v>10.530784313725491</v>
      </c>
      <c r="D10" s="15">
        <f>STDEV('Raw Data'!N5:N79)</f>
        <v>0.3994137861278948</v>
      </c>
      <c r="E10" s="15">
        <f>MIN('Raw Data'!N5:N79)</f>
        <v>9.51</v>
      </c>
      <c r="F10" s="15">
        <f>MEDIAN('Raw Data'!N5:N79)</f>
        <v>10.62</v>
      </c>
      <c r="G10" s="15">
        <f>MAX('Raw Data'!N5:N79)</f>
        <v>11.3</v>
      </c>
      <c r="H10" s="16" t="s">
        <v>118</v>
      </c>
    </row>
    <row r="11" spans="1:8" ht="15" customHeight="1" x14ac:dyDescent="0.2">
      <c r="A11" s="9" t="s">
        <v>16</v>
      </c>
      <c r="B11" s="10">
        <f>COUNT('Raw Data'!O5:O79)</f>
        <v>51</v>
      </c>
      <c r="C11" s="11">
        <f>AVERAGE('Raw Data'!O5:O79)</f>
        <v>75.777058823529401</v>
      </c>
      <c r="D11" s="11">
        <f>STDEV('Raw Data'!O5:O79)</f>
        <v>4.3173020714875392</v>
      </c>
      <c r="E11" s="11">
        <f>MIN('Raw Data'!O5:O79)</f>
        <v>65.13</v>
      </c>
      <c r="F11" s="11">
        <f>MEDIAN('Raw Data'!O5:O79)</f>
        <v>76.08</v>
      </c>
      <c r="G11" s="11">
        <f>MAX('Raw Data'!O5:O79)</f>
        <v>84.25</v>
      </c>
      <c r="H11" s="12" t="s">
        <v>118</v>
      </c>
    </row>
    <row r="12" spans="1:8" ht="15" customHeight="1" x14ac:dyDescent="0.2">
      <c r="A12" s="13" t="s">
        <v>17</v>
      </c>
      <c r="B12" s="14">
        <f>COUNT('Raw Data'!P5:P79)</f>
        <v>51</v>
      </c>
      <c r="C12" s="15">
        <f>AVERAGE('Raw Data'!P5:P79)</f>
        <v>9.0931372549019613</v>
      </c>
      <c r="D12" s="15">
        <f>STDEV('Raw Data'!P5:P79)</f>
        <v>0.51768519467366825</v>
      </c>
      <c r="E12" s="15">
        <f>MIN('Raw Data'!P5:P79)</f>
        <v>7.82</v>
      </c>
      <c r="F12" s="15">
        <f>MEDIAN('Raw Data'!P5:P79)</f>
        <v>9.1300000000000008</v>
      </c>
      <c r="G12" s="15">
        <f>MAX('Raw Data'!P5:P79)</f>
        <v>10.11</v>
      </c>
      <c r="H12" s="16" t="s">
        <v>119</v>
      </c>
    </row>
    <row r="13" spans="1:8" ht="15" customHeight="1" x14ac:dyDescent="0.2">
      <c r="A13" s="9" t="s">
        <v>18</v>
      </c>
      <c r="B13" s="10">
        <f>COUNT('Raw Data'!Q5:Q79)</f>
        <v>51</v>
      </c>
      <c r="C13" s="11">
        <f>AVERAGE('Raw Data'!Q5:Q79)</f>
        <v>1.4376470588235295</v>
      </c>
      <c r="D13" s="11">
        <f>STDEV('Raw Data'!Q5:Q79)</f>
        <v>0.30137410794754049</v>
      </c>
      <c r="E13" s="11">
        <f>MIN('Raw Data'!Q5:Q79)</f>
        <v>0.71</v>
      </c>
      <c r="F13" s="11">
        <f>MEDIAN('Raw Data'!Q5:Q79)</f>
        <v>1.46</v>
      </c>
      <c r="G13" s="11">
        <f>MAX('Raw Data'!Q5:Q79)</f>
        <v>2.04</v>
      </c>
      <c r="H13" s="12" t="s">
        <v>120</v>
      </c>
    </row>
    <row r="14" spans="1:8" ht="15" customHeight="1" x14ac:dyDescent="0.2">
      <c r="A14" s="13" t="s">
        <v>19</v>
      </c>
      <c r="B14" s="14">
        <f>COUNT('Raw Data'!R5:R79)</f>
        <v>51</v>
      </c>
      <c r="C14" s="15">
        <f>AVERAGE('Raw Data'!R5:R79)</f>
        <v>9.3960784313725494</v>
      </c>
      <c r="D14" s="15">
        <f>STDEV('Raw Data'!R5:R79)</f>
        <v>2.1014243535577273</v>
      </c>
      <c r="E14" s="15">
        <f>MIN('Raw Data'!R5:R79)</f>
        <v>5.2</v>
      </c>
      <c r="F14" s="15">
        <f>MEDIAN('Raw Data'!R5:R79)</f>
        <v>9.1</v>
      </c>
      <c r="G14" s="15">
        <f>MAX('Raw Data'!R5:R79)</f>
        <v>17.100000000000001</v>
      </c>
      <c r="H14" s="16" t="s">
        <v>118</v>
      </c>
    </row>
    <row r="15" spans="1:8" ht="15" customHeight="1" x14ac:dyDescent="0.2">
      <c r="A15" s="9" t="s">
        <v>20</v>
      </c>
      <c r="B15" s="10">
        <f>COUNT('Raw Data'!S5:S79)</f>
        <v>51</v>
      </c>
      <c r="C15" s="11">
        <f>AVERAGE('Raw Data'!S5:S79)</f>
        <v>0.32098039215686269</v>
      </c>
      <c r="D15" s="11">
        <f>STDEV('Raw Data'!S5:S79)</f>
        <v>7.0746163202276627E-2</v>
      </c>
      <c r="E15" s="11">
        <f>MIN('Raw Data'!S5:S79)</f>
        <v>0.17</v>
      </c>
      <c r="F15" s="11">
        <f>MEDIAN('Raw Data'!S5:S79)</f>
        <v>0.33</v>
      </c>
      <c r="G15" s="11">
        <f>MAX('Raw Data'!S5:S79)</f>
        <v>0.44</v>
      </c>
      <c r="H15" s="12" t="s">
        <v>121</v>
      </c>
    </row>
    <row r="16" spans="1:8" ht="15" customHeight="1" x14ac:dyDescent="0.2">
      <c r="A16" s="13" t="s">
        <v>21</v>
      </c>
      <c r="B16" s="14">
        <f>COUNT('Raw Data'!T5:T79)</f>
        <v>51</v>
      </c>
      <c r="C16" s="15">
        <f>AVERAGE('Raw Data'!T5:T79)</f>
        <v>0.17411764705882352</v>
      </c>
      <c r="D16" s="15">
        <f>STDEV('Raw Data'!T5:T79)</f>
        <v>4.4729250858391911E-2</v>
      </c>
      <c r="E16" s="15">
        <f>MIN('Raw Data'!T5:T79)</f>
        <v>0.09</v>
      </c>
      <c r="F16" s="15">
        <f>MEDIAN('Raw Data'!T5:T79)</f>
        <v>0.17</v>
      </c>
      <c r="G16" s="15">
        <f>MAX('Raw Data'!T5:T79)</f>
        <v>0.28999999999999998</v>
      </c>
      <c r="H16" s="16" t="s">
        <v>121</v>
      </c>
    </row>
    <row r="17" spans="1:8" ht="15" customHeight="1" x14ac:dyDescent="0.2">
      <c r="A17" s="9" t="s">
        <v>22</v>
      </c>
      <c r="B17" s="10">
        <f>COUNT('Raw Data'!U5:U79)</f>
        <v>51</v>
      </c>
      <c r="C17" s="11">
        <f>AVERAGE('Raw Data'!U5:U79)</f>
        <v>0.30882352941176472</v>
      </c>
      <c r="D17" s="11">
        <f>STDEV('Raw Data'!U5:U79)</f>
        <v>7.4233336414942938E-2</v>
      </c>
      <c r="E17" s="11">
        <f>MIN('Raw Data'!U5:U79)</f>
        <v>0.19</v>
      </c>
      <c r="F17" s="11">
        <f>MEDIAN('Raw Data'!U5:U79)</f>
        <v>0.3</v>
      </c>
      <c r="G17" s="11">
        <f>MAX('Raw Data'!U5:U79)</f>
        <v>0.47</v>
      </c>
      <c r="H17" s="12" t="s">
        <v>121</v>
      </c>
    </row>
    <row r="18" spans="1:8" ht="15" customHeight="1" x14ac:dyDescent="0.2">
      <c r="A18" s="13" t="s">
        <v>23</v>
      </c>
      <c r="B18" s="14">
        <f>COUNT('Raw Data'!V5:V79)</f>
        <v>51</v>
      </c>
      <c r="C18" s="15">
        <f>AVERAGE('Raw Data'!V5:V79)</f>
        <v>0.19588235294117648</v>
      </c>
      <c r="D18" s="15">
        <f>STDEV('Raw Data'!V5:V79)</f>
        <v>4.3459243922932322E-2</v>
      </c>
      <c r="E18" s="15">
        <f>MIN('Raw Data'!V5:V79)</f>
        <v>0.12</v>
      </c>
      <c r="F18" s="15">
        <f>MEDIAN('Raw Data'!V5:V79)</f>
        <v>0.2</v>
      </c>
      <c r="G18" s="15">
        <f>MAX('Raw Data'!V5:V79)</f>
        <v>0.31</v>
      </c>
      <c r="H18" s="16" t="s">
        <v>121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showGridLines="0" zoomScale="120" zoomScaleNormal="12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7" width="14" customWidth="1"/>
    <col min="8" max="8" width="30" customWidth="1"/>
  </cols>
  <sheetData>
    <row r="1" spans="1:8" ht="18" x14ac:dyDescent="0.2">
      <c r="A1" s="5" t="s">
        <v>122</v>
      </c>
    </row>
    <row r="2" spans="1:8" x14ac:dyDescent="0.2">
      <c r="A2" s="17" t="s">
        <v>123</v>
      </c>
    </row>
    <row r="4" spans="1:8" ht="19.5" customHeight="1" x14ac:dyDescent="0.2">
      <c r="A4" s="2" t="s">
        <v>124</v>
      </c>
      <c r="B4" s="2"/>
      <c r="C4" s="2"/>
      <c r="D4" s="2"/>
      <c r="E4" s="2"/>
      <c r="F4" s="2"/>
      <c r="G4" s="2"/>
      <c r="H4" s="2"/>
    </row>
    <row r="5" spans="1:8" x14ac:dyDescent="0.2">
      <c r="A5" s="18" t="s">
        <v>106</v>
      </c>
      <c r="B5" s="18" t="s">
        <v>107</v>
      </c>
      <c r="C5" s="18" t="s">
        <v>108</v>
      </c>
      <c r="D5" s="18" t="s">
        <v>109</v>
      </c>
      <c r="E5" s="18" t="s">
        <v>110</v>
      </c>
      <c r="F5" s="18" t="s">
        <v>111</v>
      </c>
      <c r="G5" s="18" t="s">
        <v>112</v>
      </c>
      <c r="H5" s="18" t="s">
        <v>113</v>
      </c>
    </row>
    <row r="6" spans="1:8" x14ac:dyDescent="0.2">
      <c r="A6" s="17" t="s">
        <v>6</v>
      </c>
      <c r="B6" s="19">
        <f>COUNTIFS('Raw Data'!$B$5:$B$79,"h",'Raw Data'!$E$5:$E$79,"&lt;&gt;")</f>
        <v>25</v>
      </c>
      <c r="C6" s="20">
        <f>AVERAGEIFS('Raw Data'!$E$5:$E$79,'Raw Data'!$B$5:$B$79,"h")</f>
        <v>657.28</v>
      </c>
      <c r="D6" s="20">
        <f t="array" ref="D6">STDEV(IF('Raw Data'!$B$5:$B$79="h",'Raw Data'!$E$5:$E$79))</f>
        <v>738.03949307156552</v>
      </c>
      <c r="E6" s="20">
        <f>_xlfn.MINIFS('Raw Data'!$E$5:$E$79,'Raw Data'!$B$5:$B$79,"h")</f>
        <v>0</v>
      </c>
      <c r="F6" s="20">
        <f t="array" ref="F6">MEDIAN(IF('Raw Data'!$B$5:$B$79="h",'Raw Data'!$E$5:$E$79))</f>
        <v>112</v>
      </c>
      <c r="G6" s="20">
        <f>_xlfn.MAXIFS('Raw Data'!$E$5:$E$79,'Raw Data'!$B$5:$B$79,"h")</f>
        <v>2176</v>
      </c>
      <c r="H6" s="17" t="s">
        <v>114</v>
      </c>
    </row>
    <row r="7" spans="1:8" x14ac:dyDescent="0.2">
      <c r="A7" s="21" t="s">
        <v>7</v>
      </c>
      <c r="B7" s="22">
        <f>COUNTIFS('Raw Data'!$B$5:$B$79,"h",'Raw Data'!$F$5:$F$79,"&lt;&gt;")</f>
        <v>25</v>
      </c>
      <c r="C7" s="23">
        <f>AVERAGEIFS('Raw Data'!$F$5:$F$79,'Raw Data'!$B$5:$B$79,"h")</f>
        <v>41.56</v>
      </c>
      <c r="D7" s="23">
        <f t="array" ref="D7">STDEV(IF('Raw Data'!$B$5:$B$79="h",'Raw Data'!$F$5:$F$79))</f>
        <v>45.916663641863181</v>
      </c>
      <c r="E7" s="23">
        <f>_xlfn.MINIFS('Raw Data'!$F$5:$F$79,'Raw Data'!$B$5:$B$79,"h")</f>
        <v>0</v>
      </c>
      <c r="F7" s="23">
        <f t="array" ref="F7">MEDIAN(IF('Raw Data'!$B$5:$B$79="h",'Raw Data'!$F$5:$F$79))</f>
        <v>2</v>
      </c>
      <c r="G7" s="23">
        <f>_xlfn.MAXIFS('Raw Data'!$F$5:$F$79,'Raw Data'!$B$5:$B$79,"h")</f>
        <v>100</v>
      </c>
      <c r="H7" s="21" t="s">
        <v>115</v>
      </c>
    </row>
    <row r="8" spans="1:8" x14ac:dyDescent="0.2">
      <c r="A8" s="17" t="s">
        <v>10</v>
      </c>
      <c r="B8" s="19">
        <f>COUNTIFS('Raw Data'!$B$5:$B$79,"h",'Raw Data'!$I$5:$I$79,"&lt;&gt;")</f>
        <v>25</v>
      </c>
      <c r="C8" s="20">
        <f>AVERAGEIFS('Raw Data'!$I$5:$I$79,'Raw Data'!$B$5:$B$79,"h")</f>
        <v>-0.26488</v>
      </c>
      <c r="D8" s="20">
        <f t="array" ref="D8">STDEV(IF('Raw Data'!$B$5:$B$79="h",'Raw Data'!$I$5:$I$79))</f>
        <v>4.8623828177825075E-2</v>
      </c>
      <c r="E8" s="20">
        <f>_xlfn.MINIFS('Raw Data'!$I$5:$I$79,'Raw Data'!$B$5:$B$79,"h")</f>
        <v>-0.34599999999999997</v>
      </c>
      <c r="F8" s="20">
        <f t="array" ref="F8">MEDIAN(IF('Raw Data'!$B$5:$B$79="h",'Raw Data'!$I$5:$I$79))</f>
        <v>-0.27500000000000002</v>
      </c>
      <c r="G8" s="20">
        <f>_xlfn.MAXIFS('Raw Data'!$I$5:$I$79,'Raw Data'!$B$5:$B$79,"h")</f>
        <v>-0.17499999999999999</v>
      </c>
      <c r="H8" s="17" t="s">
        <v>116</v>
      </c>
    </row>
    <row r="9" spans="1:8" x14ac:dyDescent="0.2">
      <c r="A9" s="21" t="s">
        <v>13</v>
      </c>
      <c r="B9" s="22">
        <f>COUNTIFS('Raw Data'!$B$5:$B$79,"h",'Raw Data'!$L$5:$L$79,"&lt;&gt;")</f>
        <v>25</v>
      </c>
      <c r="C9" s="23">
        <f>AVERAGEIFS('Raw Data'!$L$5:$L$79,'Raw Data'!$B$5:$B$79,"h")</f>
        <v>657.27999999999986</v>
      </c>
      <c r="D9" s="23">
        <f t="array" ref="D9">STDEV(IF('Raw Data'!$B$5:$B$79="h",'Raw Data'!$L$5:$L$79))</f>
        <v>264.15833635656276</v>
      </c>
      <c r="E9" s="23">
        <f>_xlfn.MINIFS('Raw Data'!$L$5:$L$79,'Raw Data'!$B$5:$B$79,"h")</f>
        <v>444.8</v>
      </c>
      <c r="F9" s="23">
        <f t="array" ref="F9">MEDIAN(IF('Raw Data'!$B$5:$B$79="h",'Raw Data'!$L$5:$L$79))</f>
        <v>492.8</v>
      </c>
      <c r="G9" s="23">
        <f>_xlfn.MAXIFS('Raw Data'!$L$5:$L$79,'Raw Data'!$B$5:$B$79,"h")</f>
        <v>1116.8</v>
      </c>
      <c r="H9" s="21" t="s">
        <v>117</v>
      </c>
    </row>
    <row r="10" spans="1:8" x14ac:dyDescent="0.2">
      <c r="A10" s="17" t="s">
        <v>14</v>
      </c>
      <c r="B10" s="19">
        <f>COUNTIFS('Raw Data'!$B$5:$B$79,"h",'Raw Data'!$M$5:$M$79,"&lt;&gt;")</f>
        <v>13</v>
      </c>
      <c r="C10" s="20">
        <f>AVERAGEIFS('Raw Data'!$M$5:$M$79,'Raw Data'!$B$5:$B$79,"h")</f>
        <v>0.15923076923076923</v>
      </c>
      <c r="D10" s="20">
        <f t="array" ref="D10">STDEV(IF('Raw Data'!$B$5:$B$79="h",'Raw Data'!$M$5:$M$79))</f>
        <v>8.4829240241794002E-2</v>
      </c>
      <c r="E10" s="20">
        <f>_xlfn.MINIFS('Raw Data'!$M$5:$M$79,'Raw Data'!$B$5:$B$79,"h")</f>
        <v>0.12</v>
      </c>
      <c r="F10" s="20">
        <f t="array" ref="F10">MEDIAN(IF('Raw Data'!$B$5:$B$79="h",'Raw Data'!$M$5:$M$79))</f>
        <v>0.12</v>
      </c>
      <c r="G10" s="20">
        <f>_xlfn.MAXIFS('Raw Data'!$M$5:$M$79,'Raw Data'!$B$5:$B$79,"h")</f>
        <v>0.25</v>
      </c>
      <c r="H10" s="17" t="s">
        <v>118</v>
      </c>
    </row>
    <row r="11" spans="1:8" x14ac:dyDescent="0.2">
      <c r="A11" s="21" t="s">
        <v>15</v>
      </c>
      <c r="B11" s="22">
        <f>COUNTIFS('Raw Data'!$B$5:$B$79,"h",'Raw Data'!$N$5:$N$79,"&lt;&gt;")</f>
        <v>13</v>
      </c>
      <c r="C11" s="23">
        <f>AVERAGEIFS('Raw Data'!$N$5:$N$79,'Raw Data'!$B$5:$B$79,"h")</f>
        <v>10.64846153846154</v>
      </c>
      <c r="D11" s="23">
        <f t="array" ref="D11">STDEV(IF('Raw Data'!$B$5:$B$79="h",'Raw Data'!$N$5:$N$79))</f>
        <v>5.4331777994098447</v>
      </c>
      <c r="E11" s="23">
        <f>_xlfn.MINIFS('Raw Data'!$N$5:$N$79,'Raw Data'!$B$5:$B$79,"h")</f>
        <v>10.16</v>
      </c>
      <c r="F11" s="23">
        <f t="array" ref="F11">MEDIAN(IF('Raw Data'!$B$5:$B$79="h",'Raw Data'!$N$5:$N$79))</f>
        <v>10.16</v>
      </c>
      <c r="G11" s="23">
        <f>_xlfn.MAXIFS('Raw Data'!$N$5:$N$79,'Raw Data'!$B$5:$B$79,"h")</f>
        <v>11.12</v>
      </c>
      <c r="H11" s="21" t="s">
        <v>118</v>
      </c>
    </row>
    <row r="12" spans="1:8" x14ac:dyDescent="0.2">
      <c r="A12" s="17" t="s">
        <v>16</v>
      </c>
      <c r="B12" s="19">
        <f>COUNTIFS('Raw Data'!$B$5:$B$79,"h",'Raw Data'!$O$5:$O$79,"&lt;&gt;")</f>
        <v>13</v>
      </c>
      <c r="C12" s="20">
        <f>AVERAGEIFS('Raw Data'!$O$5:$O$79,'Raw Data'!$B$5:$B$79,"h")</f>
        <v>77.516153846153841</v>
      </c>
      <c r="D12" s="20">
        <f t="array" ref="D12">STDEV(IF('Raw Data'!$B$5:$B$79="h",'Raw Data'!$O$5:$O$79))</f>
        <v>39.601195339703239</v>
      </c>
      <c r="E12" s="20">
        <f>_xlfn.MINIFS('Raw Data'!$O$5:$O$79,'Raw Data'!$B$5:$B$79,"h")</f>
        <v>72.63</v>
      </c>
      <c r="F12" s="20">
        <f t="array" ref="F12">MEDIAN(IF('Raw Data'!$B$5:$B$79="h",'Raw Data'!$O$5:$O$79))</f>
        <v>72.63</v>
      </c>
      <c r="G12" s="20">
        <f>_xlfn.MAXIFS('Raw Data'!$O$5:$O$79,'Raw Data'!$B$5:$B$79,"h")</f>
        <v>84.25</v>
      </c>
      <c r="H12" s="17" t="s">
        <v>118</v>
      </c>
    </row>
    <row r="13" spans="1:8" x14ac:dyDescent="0.2">
      <c r="A13" s="21" t="s">
        <v>17</v>
      </c>
      <c r="B13" s="22">
        <f>COUNTIFS('Raw Data'!$B$5:$B$79,"h",'Raw Data'!$P$5:$P$79,"&lt;&gt;")</f>
        <v>13</v>
      </c>
      <c r="C13" s="23">
        <f>AVERAGEIFS('Raw Data'!$P$5:$P$79,'Raw Data'!$B$5:$B$79,"h")</f>
        <v>9.3015384615384598</v>
      </c>
      <c r="D13" s="23">
        <f t="array" ref="D13">STDEV(IF('Raw Data'!$B$5:$B$79="h",'Raw Data'!$P$5:$P$79))</f>
        <v>4.751892359892004</v>
      </c>
      <c r="E13" s="23">
        <f>_xlfn.MINIFS('Raw Data'!$P$5:$P$79,'Raw Data'!$B$5:$B$79,"h")</f>
        <v>8.7200000000000006</v>
      </c>
      <c r="F13" s="23">
        <f t="array" ref="F13">MEDIAN(IF('Raw Data'!$B$5:$B$79="h",'Raw Data'!$P$5:$P$79))</f>
        <v>8.7200000000000006</v>
      </c>
      <c r="G13" s="23">
        <f>_xlfn.MAXIFS('Raw Data'!$P$5:$P$79,'Raw Data'!$B$5:$B$79,"h")</f>
        <v>10.11</v>
      </c>
      <c r="H13" s="21" t="s">
        <v>119</v>
      </c>
    </row>
    <row r="14" spans="1:8" x14ac:dyDescent="0.2">
      <c r="A14" s="17" t="s">
        <v>18</v>
      </c>
      <c r="B14" s="19">
        <f>COUNTIFS('Raw Data'!$B$5:$B$79,"h",'Raw Data'!$Q$5:$Q$79,"&lt;&gt;")</f>
        <v>13</v>
      </c>
      <c r="C14" s="20">
        <f>AVERAGEIFS('Raw Data'!$Q$5:$Q$79,'Raw Data'!$B$5:$B$79,"h")</f>
        <v>1.3469230769230767</v>
      </c>
      <c r="D14" s="20">
        <f t="array" ref="D14">STDEV(IF('Raw Data'!$B$5:$B$79="h",'Raw Data'!$Q$5:$Q$79))</f>
        <v>0.70097241980931979</v>
      </c>
      <c r="E14" s="20">
        <f>_xlfn.MINIFS('Raw Data'!$Q$5:$Q$79,'Raw Data'!$B$5:$B$79,"h")</f>
        <v>1.01</v>
      </c>
      <c r="F14" s="20">
        <f t="array" ref="F14">MEDIAN(IF('Raw Data'!$B$5:$B$79="h",'Raw Data'!$Q$5:$Q$79))</f>
        <v>1.01</v>
      </c>
      <c r="G14" s="20">
        <f>_xlfn.MAXIFS('Raw Data'!$Q$5:$Q$79,'Raw Data'!$B$5:$B$79,"h")</f>
        <v>1.67</v>
      </c>
      <c r="H14" s="17" t="s">
        <v>120</v>
      </c>
    </row>
    <row r="15" spans="1:8" x14ac:dyDescent="0.2">
      <c r="A15" s="21" t="s">
        <v>19</v>
      </c>
      <c r="B15" s="22">
        <f>COUNTIFS('Raw Data'!$B$5:$B$79,"h",'Raw Data'!$R$5:$R$79,"&lt;&gt;")</f>
        <v>13</v>
      </c>
      <c r="C15" s="23">
        <f>AVERAGEIFS('Raw Data'!$R$5:$R$79,'Raw Data'!$B$5:$B$79,"h")</f>
        <v>8.6307692307692321</v>
      </c>
      <c r="D15" s="23">
        <f t="array" ref="D15">STDEV(IF('Raw Data'!$B$5:$B$79="h",'Raw Data'!$R$5:$R$79))</f>
        <v>4.492987128106793</v>
      </c>
      <c r="E15" s="23">
        <f>_xlfn.MINIFS('Raw Data'!$R$5:$R$79,'Raw Data'!$B$5:$B$79,"h")</f>
        <v>6</v>
      </c>
      <c r="F15" s="23">
        <f t="array" ref="F15">MEDIAN(IF('Raw Data'!$B$5:$B$79="h",'Raw Data'!$R$5:$R$79))</f>
        <v>6</v>
      </c>
      <c r="G15" s="23">
        <f>_xlfn.MAXIFS('Raw Data'!$R$5:$R$79,'Raw Data'!$B$5:$B$79,"h")</f>
        <v>10.199999999999999</v>
      </c>
      <c r="H15" s="21" t="s">
        <v>118</v>
      </c>
    </row>
    <row r="16" spans="1:8" x14ac:dyDescent="0.2">
      <c r="A16" s="17" t="s">
        <v>20</v>
      </c>
      <c r="B16" s="19">
        <f>COUNTIFS('Raw Data'!$B$5:$B$79,"h",'Raw Data'!$S$5:$S$79,"&lt;&gt;")</f>
        <v>13</v>
      </c>
      <c r="C16" s="20">
        <f>AVERAGEIFS('Raw Data'!$S$5:$S$79,'Raw Data'!$B$5:$B$79,"h")</f>
        <v>0.3215384615384615</v>
      </c>
      <c r="D16" s="20">
        <f t="array" ref="D16">STDEV(IF('Raw Data'!$B$5:$B$79="h",'Raw Data'!$S$5:$S$79))</f>
        <v>0.1721317324996566</v>
      </c>
      <c r="E16" s="20">
        <f>_xlfn.MINIFS('Raw Data'!$S$5:$S$79,'Raw Data'!$B$5:$B$79,"h")</f>
        <v>0.17</v>
      </c>
      <c r="F16" s="20">
        <f t="array" ref="F16">MEDIAN(IF('Raw Data'!$B$5:$B$79="h",'Raw Data'!$S$5:$S$79))</f>
        <v>0.17</v>
      </c>
      <c r="G16" s="20">
        <f>_xlfn.MAXIFS('Raw Data'!$S$5:$S$79,'Raw Data'!$B$5:$B$79,"h")</f>
        <v>0.44</v>
      </c>
      <c r="H16" s="17" t="s">
        <v>121</v>
      </c>
    </row>
    <row r="17" spans="1:8" x14ac:dyDescent="0.2">
      <c r="A17" s="21" t="s">
        <v>21</v>
      </c>
      <c r="B17" s="22">
        <f>COUNTIFS('Raw Data'!$B$5:$B$79,"h",'Raw Data'!$T$5:$T$79,"&lt;&gt;")</f>
        <v>13</v>
      </c>
      <c r="C17" s="23">
        <f>AVERAGEIFS('Raw Data'!$T$5:$T$79,'Raw Data'!$B$5:$B$79,"h")</f>
        <v>0.19846153846153847</v>
      </c>
      <c r="D17" s="23">
        <f t="array" ref="D17">STDEV(IF('Raw Data'!$B$5:$B$79="h",'Raw Data'!$T$5:$T$79))</f>
        <v>0.10648630584884299</v>
      </c>
      <c r="E17" s="23">
        <f>_xlfn.MINIFS('Raw Data'!$T$5:$T$79,'Raw Data'!$B$5:$B$79,"h")</f>
        <v>0.13</v>
      </c>
      <c r="F17" s="23">
        <f t="array" ref="F17">MEDIAN(IF('Raw Data'!$B$5:$B$79="h",'Raw Data'!$T$5:$T$79))</f>
        <v>0.13</v>
      </c>
      <c r="G17" s="23">
        <f>_xlfn.MAXIFS('Raw Data'!$T$5:$T$79,'Raw Data'!$B$5:$B$79,"h")</f>
        <v>0.28999999999999998</v>
      </c>
      <c r="H17" s="21" t="s">
        <v>121</v>
      </c>
    </row>
    <row r="18" spans="1:8" x14ac:dyDescent="0.2">
      <c r="A18" s="17" t="s">
        <v>22</v>
      </c>
      <c r="B18" s="19">
        <f>COUNTIFS('Raw Data'!$B$5:$B$79,"h",'Raw Data'!$U$5:$U$79,"&lt;&gt;")</f>
        <v>13</v>
      </c>
      <c r="C18" s="20">
        <f>AVERAGEIFS('Raw Data'!$U$5:$U$79,'Raw Data'!$B$5:$B$79,"h")</f>
        <v>0.31153846153846154</v>
      </c>
      <c r="D18" s="20">
        <f t="array" ref="D18">STDEV(IF('Raw Data'!$B$5:$B$79="h",'Raw Data'!$U$5:$U$79))</f>
        <v>0.1682755676462471</v>
      </c>
      <c r="E18" s="20">
        <f>_xlfn.MINIFS('Raw Data'!$U$5:$U$79,'Raw Data'!$B$5:$B$79,"h")</f>
        <v>0.22</v>
      </c>
      <c r="F18" s="20">
        <f t="array" ref="F18">MEDIAN(IF('Raw Data'!$B$5:$B$79="h",'Raw Data'!$U$5:$U$79))</f>
        <v>0.22</v>
      </c>
      <c r="G18" s="20">
        <f>_xlfn.MAXIFS('Raw Data'!$U$5:$U$79,'Raw Data'!$B$5:$B$79,"h")</f>
        <v>0.46</v>
      </c>
      <c r="H18" s="17" t="s">
        <v>121</v>
      </c>
    </row>
    <row r="19" spans="1:8" x14ac:dyDescent="0.2">
      <c r="A19" s="21" t="s">
        <v>23</v>
      </c>
      <c r="B19" s="22">
        <f>COUNTIFS('Raw Data'!$B$5:$B$79,"h",'Raw Data'!$V$5:$V$79,"&lt;&gt;")</f>
        <v>13</v>
      </c>
      <c r="C19" s="23">
        <f>AVERAGEIFS('Raw Data'!$V$5:$V$79,'Raw Data'!$B$5:$B$79,"h")</f>
        <v>0.16846153846153841</v>
      </c>
      <c r="D19" s="23">
        <f t="array" ref="D19">STDEV(IF('Raw Data'!$B$5:$B$79="h",'Raw Data'!$V$5:$V$79))</f>
        <v>8.8613392516782352E-2</v>
      </c>
      <c r="E19" s="23">
        <f>_xlfn.MINIFS('Raw Data'!$V$5:$V$79,'Raw Data'!$B$5:$B$79,"h")</f>
        <v>0.12</v>
      </c>
      <c r="F19" s="23">
        <f t="array" ref="F19">MEDIAN(IF('Raw Data'!$B$5:$B$79="h",'Raw Data'!$V$5:$V$79))</f>
        <v>0.12</v>
      </c>
      <c r="G19" s="23">
        <f>_xlfn.MAXIFS('Raw Data'!$V$5:$V$79,'Raw Data'!$B$5:$B$79,"h")</f>
        <v>0.23</v>
      </c>
      <c r="H19" s="21" t="s">
        <v>121</v>
      </c>
    </row>
    <row r="21" spans="1:8" ht="19.5" customHeight="1" x14ac:dyDescent="0.2">
      <c r="A21" s="2" t="s">
        <v>125</v>
      </c>
      <c r="B21" s="2"/>
      <c r="C21" s="2"/>
      <c r="D21" s="2"/>
      <c r="E21" s="2"/>
      <c r="F21" s="2"/>
      <c r="G21" s="2"/>
      <c r="H21" s="2"/>
    </row>
    <row r="22" spans="1:8" x14ac:dyDescent="0.2">
      <c r="A22" s="18" t="s">
        <v>106</v>
      </c>
      <c r="B22" s="18" t="s">
        <v>107</v>
      </c>
      <c r="C22" s="18" t="s">
        <v>108</v>
      </c>
      <c r="D22" s="18" t="s">
        <v>109</v>
      </c>
      <c r="E22" s="18" t="s">
        <v>110</v>
      </c>
      <c r="F22" s="18" t="s">
        <v>111</v>
      </c>
      <c r="G22" s="18" t="s">
        <v>112</v>
      </c>
      <c r="H22" s="18" t="s">
        <v>113</v>
      </c>
    </row>
    <row r="23" spans="1:8" x14ac:dyDescent="0.2">
      <c r="A23" s="17" t="s">
        <v>6</v>
      </c>
      <c r="B23" s="19">
        <f>COUNTIFS('Raw Data'!$B$5:$B$79,"c",'Raw Data'!$E$5:$E$79,"&lt;&gt;")</f>
        <v>25</v>
      </c>
      <c r="C23" s="20">
        <f>AVERAGEIFS('Raw Data'!$E$5:$E$79,'Raw Data'!$B$5:$B$79,"c")</f>
        <v>44.16</v>
      </c>
      <c r="D23" s="20">
        <f t="array" ref="D23">STDEV(IF('Raw Data'!$B$5:$B$79="c",'Raw Data'!$E$5:$E$79))</f>
        <v>214.22878735905996</v>
      </c>
      <c r="E23" s="20">
        <f>_xlfn.MINIFS('Raw Data'!$E$5:$E$79,'Raw Data'!$B$5:$B$79,"c")</f>
        <v>0</v>
      </c>
      <c r="F23" s="20">
        <f t="array" ref="F23">MEDIAN(IF('Raw Data'!$B$5:$B$79="c",'Raw Data'!$E$5:$E$79))</f>
        <v>0</v>
      </c>
      <c r="G23" s="20">
        <f>_xlfn.MAXIFS('Raw Data'!$E$5:$E$79,'Raw Data'!$B$5:$B$79,"c")</f>
        <v>1072</v>
      </c>
      <c r="H23" s="17" t="s">
        <v>114</v>
      </c>
    </row>
    <row r="24" spans="1:8" x14ac:dyDescent="0.2">
      <c r="A24" s="21" t="s">
        <v>7</v>
      </c>
      <c r="B24" s="22">
        <f>COUNTIFS('Raw Data'!$B$5:$B$79,"c",'Raw Data'!$F$5:$F$79,"&lt;&gt;")</f>
        <v>25</v>
      </c>
      <c r="C24" s="23">
        <f>AVERAGEIFS('Raw Data'!$F$5:$F$79,'Raw Data'!$B$5:$B$79,"c")</f>
        <v>2.84</v>
      </c>
      <c r="D24" s="23">
        <f t="array" ref="D24">STDEV(IF('Raw Data'!$B$5:$B$79="c",'Raw Data'!$F$5:$F$79))</f>
        <v>13.993093534550058</v>
      </c>
      <c r="E24" s="23">
        <f>_xlfn.MINIFS('Raw Data'!$F$5:$F$79,'Raw Data'!$B$5:$B$79,"c")</f>
        <v>0</v>
      </c>
      <c r="F24" s="23">
        <f t="array" ref="F24">MEDIAN(IF('Raw Data'!$B$5:$B$79="c",'Raw Data'!$F$5:$F$79))</f>
        <v>0</v>
      </c>
      <c r="G24" s="23">
        <f>_xlfn.MAXIFS('Raw Data'!$F$5:$F$79,'Raw Data'!$B$5:$B$79,"c")</f>
        <v>70</v>
      </c>
      <c r="H24" s="21" t="s">
        <v>115</v>
      </c>
    </row>
    <row r="25" spans="1:8" x14ac:dyDescent="0.2">
      <c r="A25" s="17" t="s">
        <v>10</v>
      </c>
      <c r="B25" s="19">
        <f>COUNTIFS('Raw Data'!$B$5:$B$79,"c",'Raw Data'!$I$5:$I$79,"&lt;&gt;")</f>
        <v>25</v>
      </c>
      <c r="C25" s="20">
        <f>AVERAGEIFS('Raw Data'!$I$5:$I$79,'Raw Data'!$B$5:$B$79,"c")</f>
        <v>-0.35724000000000006</v>
      </c>
      <c r="D25" s="20">
        <f t="array" ref="D25">STDEV(IF('Raw Data'!$B$5:$B$79="c",'Raw Data'!$I$5:$I$79))</f>
        <v>3.3591020625558056E-2</v>
      </c>
      <c r="E25" s="20">
        <f>_xlfn.MINIFS('Raw Data'!$I$5:$I$79,'Raw Data'!$B$5:$B$79,"c")</f>
        <v>-0.41599999999999998</v>
      </c>
      <c r="F25" s="20">
        <f t="array" ref="F25">MEDIAN(IF('Raw Data'!$B$5:$B$79="c",'Raw Data'!$I$5:$I$79))</f>
        <v>-0.35099999999999998</v>
      </c>
      <c r="G25" s="20">
        <f>_xlfn.MAXIFS('Raw Data'!$I$5:$I$79,'Raw Data'!$B$5:$B$79,"c")</f>
        <v>-0.28899999999999998</v>
      </c>
      <c r="H25" s="17" t="s">
        <v>116</v>
      </c>
    </row>
    <row r="26" spans="1:8" x14ac:dyDescent="0.2">
      <c r="A26" s="21" t="s">
        <v>13</v>
      </c>
      <c r="B26" s="22">
        <f>COUNTIFS('Raw Data'!$B$5:$B$79,"c",'Raw Data'!$L$5:$L$79,"&lt;&gt;")</f>
        <v>25</v>
      </c>
      <c r="C26" s="23">
        <f>AVERAGEIFS('Raw Data'!$L$5:$L$79,'Raw Data'!$B$5:$B$79,"c")</f>
        <v>44.160000000000018</v>
      </c>
      <c r="D26" s="23">
        <f t="array" ref="D26">STDEV(IF('Raw Data'!$B$5:$B$79="c",'Raw Data'!$L$5:$L$79))</f>
        <v>86.91206283748339</v>
      </c>
      <c r="E26" s="23">
        <f>_xlfn.MINIFS('Raw Data'!$L$5:$L$79,'Raw Data'!$B$5:$B$79,"c")</f>
        <v>0</v>
      </c>
      <c r="F26" s="23">
        <f t="array" ref="F26">MEDIAN(IF('Raw Data'!$B$5:$B$79="c",'Raw Data'!$L$5:$L$79))</f>
        <v>0</v>
      </c>
      <c r="G26" s="23">
        <f>_xlfn.MAXIFS('Raw Data'!$L$5:$L$79,'Raw Data'!$B$5:$B$79,"c")</f>
        <v>214.4</v>
      </c>
      <c r="H26" s="21" t="s">
        <v>117</v>
      </c>
    </row>
    <row r="27" spans="1:8" x14ac:dyDescent="0.2">
      <c r="A27" s="17" t="s">
        <v>14</v>
      </c>
      <c r="B27" s="19">
        <f>COUNTIFS('Raw Data'!$B$5:$B$79,"c",'Raw Data'!$M$5:$M$79,"&lt;&gt;")</f>
        <v>25</v>
      </c>
      <c r="C27" s="20">
        <f>AVERAGEIFS('Raw Data'!$M$5:$M$79,'Raw Data'!$B$5:$B$79,"c")</f>
        <v>0.16000000000000003</v>
      </c>
      <c r="D27" s="20">
        <f t="array" ref="D27">STDEV(IF('Raw Data'!$B$5:$B$79="c",'Raw Data'!$M$5:$M$79))</f>
        <v>4.2817441928883676E-2</v>
      </c>
      <c r="E27" s="20">
        <f>_xlfn.MINIFS('Raw Data'!$M$5:$M$79,'Raw Data'!$B$5:$B$79,"c")</f>
        <v>0.09</v>
      </c>
      <c r="F27" s="20">
        <f t="array" ref="F27">MEDIAN(IF('Raw Data'!$B$5:$B$79="c",'Raw Data'!$M$5:$M$79))</f>
        <v>0.16</v>
      </c>
      <c r="G27" s="20">
        <f>_xlfn.MAXIFS('Raw Data'!$M$5:$M$79,'Raw Data'!$B$5:$B$79,"c")</f>
        <v>0.26</v>
      </c>
      <c r="H27" s="17" t="s">
        <v>118</v>
      </c>
    </row>
    <row r="28" spans="1:8" x14ac:dyDescent="0.2">
      <c r="A28" s="21" t="s">
        <v>15</v>
      </c>
      <c r="B28" s="22">
        <f>COUNTIFS('Raw Data'!$B$5:$B$79,"c",'Raw Data'!$N$5:$N$79,"&lt;&gt;")</f>
        <v>25</v>
      </c>
      <c r="C28" s="23">
        <f>AVERAGEIFS('Raw Data'!$N$5:$N$79,'Raw Data'!$B$5:$B$79,"c")</f>
        <v>10.541600000000003</v>
      </c>
      <c r="D28" s="23">
        <f t="array" ref="D28">STDEV(IF('Raw Data'!$B$5:$B$79="c",'Raw Data'!$N$5:$N$79))</f>
        <v>0.27667188750094113</v>
      </c>
      <c r="E28" s="23">
        <f>_xlfn.MINIFS('Raw Data'!$N$5:$N$79,'Raw Data'!$B$5:$B$79,"c")</f>
        <v>9.9700000000000006</v>
      </c>
      <c r="F28" s="23">
        <f t="array" ref="F28">MEDIAN(IF('Raw Data'!$B$5:$B$79="c",'Raw Data'!$N$5:$N$79))</f>
        <v>10.59</v>
      </c>
      <c r="G28" s="23">
        <f>_xlfn.MAXIFS('Raw Data'!$N$5:$N$79,'Raw Data'!$B$5:$B$79,"c")</f>
        <v>11.14</v>
      </c>
      <c r="H28" s="21" t="s">
        <v>118</v>
      </c>
    </row>
    <row r="29" spans="1:8" x14ac:dyDescent="0.2">
      <c r="A29" s="17" t="s">
        <v>16</v>
      </c>
      <c r="B29" s="19">
        <f>COUNTIFS('Raw Data'!$B$5:$B$79,"c",'Raw Data'!$O$5:$O$79,"&lt;&gt;")</f>
        <v>25</v>
      </c>
      <c r="C29" s="20">
        <f>AVERAGEIFS('Raw Data'!$O$5:$O$79,'Raw Data'!$B$5:$B$79,"c")</f>
        <v>75.062399999999982</v>
      </c>
      <c r="D29" s="20">
        <f t="array" ref="D29">STDEV(IF('Raw Data'!$B$5:$B$79="c",'Raw Data'!$O$5:$O$79))</f>
        <v>4.0600115763381774</v>
      </c>
      <c r="E29" s="20">
        <f>_xlfn.MINIFS('Raw Data'!$O$5:$O$79,'Raw Data'!$B$5:$B$79,"c")</f>
        <v>68.11</v>
      </c>
      <c r="F29" s="20">
        <f t="array" ref="F29">MEDIAN(IF('Raw Data'!$B$5:$B$79="c",'Raw Data'!$O$5:$O$79))</f>
        <v>74.87</v>
      </c>
      <c r="G29" s="20">
        <f>_xlfn.MAXIFS('Raw Data'!$O$5:$O$79,'Raw Data'!$B$5:$B$79,"c")</f>
        <v>83</v>
      </c>
      <c r="H29" s="17" t="s">
        <v>118</v>
      </c>
    </row>
    <row r="30" spans="1:8" x14ac:dyDescent="0.2">
      <c r="A30" s="21" t="s">
        <v>17</v>
      </c>
      <c r="B30" s="22">
        <f>COUNTIFS('Raw Data'!$B$5:$B$79,"c",'Raw Data'!$P$5:$P$79,"&lt;&gt;")</f>
        <v>25</v>
      </c>
      <c r="C30" s="23">
        <f>AVERAGEIFS('Raw Data'!$P$5:$P$79,'Raw Data'!$B$5:$B$79,"c")</f>
        <v>9.007200000000001</v>
      </c>
      <c r="D30" s="23">
        <f t="array" ref="D30">STDEV(IF('Raw Data'!$B$5:$B$79="c",'Raw Data'!$P$5:$P$79))</f>
        <v>0.48693360259211266</v>
      </c>
      <c r="E30" s="23">
        <f>_xlfn.MINIFS('Raw Data'!$P$5:$P$79,'Raw Data'!$B$5:$B$79,"c")</f>
        <v>8.17</v>
      </c>
      <c r="F30" s="23">
        <f t="array" ref="F30">MEDIAN(IF('Raw Data'!$B$5:$B$79="c",'Raw Data'!$P$5:$P$79))</f>
        <v>8.98</v>
      </c>
      <c r="G30" s="23">
        <f>_xlfn.MAXIFS('Raw Data'!$P$5:$P$79,'Raw Data'!$B$5:$B$79,"c")</f>
        <v>9.9600000000000009</v>
      </c>
      <c r="H30" s="21" t="s">
        <v>119</v>
      </c>
    </row>
    <row r="31" spans="1:8" x14ac:dyDescent="0.2">
      <c r="A31" s="17" t="s">
        <v>18</v>
      </c>
      <c r="B31" s="19">
        <f>COUNTIFS('Raw Data'!$B$5:$B$79,"c",'Raw Data'!$Q$5:$Q$79,"&lt;&gt;")</f>
        <v>25</v>
      </c>
      <c r="C31" s="20">
        <f>AVERAGEIFS('Raw Data'!$Q$5:$Q$79,'Raw Data'!$B$5:$B$79,"c")</f>
        <v>1.5344</v>
      </c>
      <c r="D31" s="20">
        <f t="array" ref="D31">STDEV(IF('Raw Data'!$B$5:$B$79="c",'Raw Data'!$Q$5:$Q$79))</f>
        <v>0.34328171132953361</v>
      </c>
      <c r="E31" s="20">
        <f>_xlfn.MINIFS('Raw Data'!$Q$5:$Q$79,'Raw Data'!$B$5:$B$79,"c")</f>
        <v>0.71</v>
      </c>
      <c r="F31" s="20">
        <f t="array" ref="F31">MEDIAN(IF('Raw Data'!$B$5:$B$79="c",'Raw Data'!$Q$5:$Q$79))</f>
        <v>1.54</v>
      </c>
      <c r="G31" s="20">
        <f>_xlfn.MAXIFS('Raw Data'!$Q$5:$Q$79,'Raw Data'!$B$5:$B$79,"c")</f>
        <v>2.04</v>
      </c>
      <c r="H31" s="17" t="s">
        <v>120</v>
      </c>
    </row>
    <row r="32" spans="1:8" x14ac:dyDescent="0.2">
      <c r="A32" s="21" t="s">
        <v>19</v>
      </c>
      <c r="B32" s="22">
        <f>COUNTIFS('Raw Data'!$B$5:$B$79,"c",'Raw Data'!$R$5:$R$79,"&lt;&gt;")</f>
        <v>25</v>
      </c>
      <c r="C32" s="23">
        <f>AVERAGEIFS('Raw Data'!$R$5:$R$79,'Raw Data'!$B$5:$B$79,"c")</f>
        <v>9.8359999999999967</v>
      </c>
      <c r="D32" s="23">
        <f t="array" ref="D32">STDEV(IF('Raw Data'!$B$5:$B$79="c",'Raw Data'!$R$5:$R$79))</f>
        <v>2.1422106961423575</v>
      </c>
      <c r="E32" s="23">
        <f>_xlfn.MINIFS('Raw Data'!$R$5:$R$79,'Raw Data'!$B$5:$B$79,"c")</f>
        <v>7.1</v>
      </c>
      <c r="F32" s="23">
        <f t="array" ref="F32">MEDIAN(IF('Raw Data'!$B$5:$B$79="c",'Raw Data'!$R$5:$R$79))</f>
        <v>9.3000000000000007</v>
      </c>
      <c r="G32" s="23">
        <f>_xlfn.MAXIFS('Raw Data'!$R$5:$R$79,'Raw Data'!$B$5:$B$79,"c")</f>
        <v>17.100000000000001</v>
      </c>
      <c r="H32" s="21" t="s">
        <v>118</v>
      </c>
    </row>
    <row r="33" spans="1:8" x14ac:dyDescent="0.2">
      <c r="A33" s="17" t="s">
        <v>20</v>
      </c>
      <c r="B33" s="19">
        <f>COUNTIFS('Raw Data'!$B$5:$B$79,"c",'Raw Data'!$S$5:$S$79,"&lt;&gt;")</f>
        <v>25</v>
      </c>
      <c r="C33" s="20">
        <f>AVERAGEIFS('Raw Data'!$S$5:$S$79,'Raw Data'!$B$5:$B$79,"c")</f>
        <v>0.32600000000000001</v>
      </c>
      <c r="D33" s="20">
        <f t="array" ref="D33">STDEV(IF('Raw Data'!$B$5:$B$79="c",'Raw Data'!$S$5:$S$79))</f>
        <v>7.5773786144462008E-2</v>
      </c>
      <c r="E33" s="20">
        <f>_xlfn.MINIFS('Raw Data'!$S$5:$S$79,'Raw Data'!$B$5:$B$79,"c")</f>
        <v>0.2</v>
      </c>
      <c r="F33" s="20">
        <f t="array" ref="F33">MEDIAN(IF('Raw Data'!$B$5:$B$79="c",'Raw Data'!$S$5:$S$79))</f>
        <v>0.34</v>
      </c>
      <c r="G33" s="20">
        <f>_xlfn.MAXIFS('Raw Data'!$S$5:$S$79,'Raw Data'!$B$5:$B$79,"c")</f>
        <v>0.44</v>
      </c>
      <c r="H33" s="17" t="s">
        <v>121</v>
      </c>
    </row>
    <row r="34" spans="1:8" x14ac:dyDescent="0.2">
      <c r="A34" s="21" t="s">
        <v>21</v>
      </c>
      <c r="B34" s="22">
        <f>COUNTIFS('Raw Data'!$B$5:$B$79,"c",'Raw Data'!$T$5:$T$79,"&lt;&gt;")</f>
        <v>25</v>
      </c>
      <c r="C34" s="23">
        <f>AVERAGEIFS('Raw Data'!$T$5:$T$79,'Raw Data'!$B$5:$B$79,"c")</f>
        <v>0.15720000000000003</v>
      </c>
      <c r="D34" s="23">
        <f t="array" ref="D34">STDEV(IF('Raw Data'!$B$5:$B$79="c",'Raw Data'!$T$5:$T$79))</f>
        <v>4.1384377084434452E-2</v>
      </c>
      <c r="E34" s="23">
        <f>_xlfn.MINIFS('Raw Data'!$T$5:$T$79,'Raw Data'!$B$5:$B$79,"c")</f>
        <v>0.09</v>
      </c>
      <c r="F34" s="23">
        <f t="array" ref="F34">MEDIAN(IF('Raw Data'!$B$5:$B$79="c",'Raw Data'!$T$5:$T$79))</f>
        <v>0.14000000000000001</v>
      </c>
      <c r="G34" s="23">
        <f>_xlfn.MAXIFS('Raw Data'!$T$5:$T$79,'Raw Data'!$B$5:$B$79,"c")</f>
        <v>0.24</v>
      </c>
      <c r="H34" s="21" t="s">
        <v>121</v>
      </c>
    </row>
    <row r="35" spans="1:8" x14ac:dyDescent="0.2">
      <c r="A35" s="17" t="s">
        <v>22</v>
      </c>
      <c r="B35" s="19">
        <f>COUNTIFS('Raw Data'!$B$5:$B$79,"c",'Raw Data'!$U$5:$U$79,"&lt;&gt;")</f>
        <v>25</v>
      </c>
      <c r="C35" s="20">
        <f>AVERAGEIFS('Raw Data'!$U$5:$U$79,'Raw Data'!$B$5:$B$79,"c")</f>
        <v>0.29960000000000003</v>
      </c>
      <c r="D35" s="20">
        <f t="array" ref="D35">STDEV(IF('Raw Data'!$B$5:$B$79="c",'Raw Data'!$U$5:$U$79))</f>
        <v>7.8606615497679264E-2</v>
      </c>
      <c r="E35" s="20">
        <f>_xlfn.MINIFS('Raw Data'!$U$5:$U$79,'Raw Data'!$B$5:$B$79,"c")</f>
        <v>0.19</v>
      </c>
      <c r="F35" s="20">
        <f t="array" ref="F35">MEDIAN(IF('Raw Data'!$B$5:$B$79="c",'Raw Data'!$U$5:$U$79))</f>
        <v>0.28000000000000003</v>
      </c>
      <c r="G35" s="20">
        <f>_xlfn.MAXIFS('Raw Data'!$U$5:$U$79,'Raw Data'!$B$5:$B$79,"c")</f>
        <v>0.47</v>
      </c>
      <c r="H35" s="17" t="s">
        <v>121</v>
      </c>
    </row>
    <row r="36" spans="1:8" x14ac:dyDescent="0.2">
      <c r="A36" s="21" t="s">
        <v>23</v>
      </c>
      <c r="B36" s="22">
        <f>COUNTIFS('Raw Data'!$B$5:$B$79,"c",'Raw Data'!$V$5:$V$79,"&lt;&gt;")</f>
        <v>25</v>
      </c>
      <c r="C36" s="23">
        <f>AVERAGEIFS('Raw Data'!$V$5:$V$79,'Raw Data'!$B$5:$B$79,"c")</f>
        <v>0.21720000000000003</v>
      </c>
      <c r="D36" s="23">
        <f t="array" ref="D36">STDEV(IF('Raw Data'!$B$5:$B$79="c",'Raw Data'!$V$5:$V$79))</f>
        <v>4.2673176586703609E-2</v>
      </c>
      <c r="E36" s="23">
        <f>_xlfn.MINIFS('Raw Data'!$V$5:$V$79,'Raw Data'!$B$5:$B$79,"c")</f>
        <v>0.13</v>
      </c>
      <c r="F36" s="23">
        <f t="array" ref="F36">MEDIAN(IF('Raw Data'!$B$5:$B$79="c",'Raw Data'!$V$5:$V$79))</f>
        <v>0.22</v>
      </c>
      <c r="G36" s="23">
        <f>_xlfn.MAXIFS('Raw Data'!$V$5:$V$79,'Raw Data'!$B$5:$B$79,"c")</f>
        <v>0.31</v>
      </c>
      <c r="H36" s="21" t="s">
        <v>121</v>
      </c>
    </row>
    <row r="38" spans="1:8" ht="19.5" customHeight="1" x14ac:dyDescent="0.2">
      <c r="A38" s="2" t="s">
        <v>126</v>
      </c>
      <c r="B38" s="2"/>
      <c r="C38" s="2"/>
      <c r="D38" s="2"/>
      <c r="E38" s="2"/>
      <c r="F38" s="2"/>
      <c r="G38" s="2"/>
      <c r="H38" s="2"/>
    </row>
    <row r="39" spans="1:8" x14ac:dyDescent="0.2">
      <c r="A39" s="18" t="s">
        <v>106</v>
      </c>
      <c r="B39" s="18" t="s">
        <v>107</v>
      </c>
      <c r="C39" s="18" t="s">
        <v>108</v>
      </c>
      <c r="D39" s="18" t="s">
        <v>109</v>
      </c>
      <c r="E39" s="18" t="s">
        <v>110</v>
      </c>
      <c r="F39" s="18" t="s">
        <v>111</v>
      </c>
      <c r="G39" s="18" t="s">
        <v>112</v>
      </c>
      <c r="H39" s="18" t="s">
        <v>113</v>
      </c>
    </row>
    <row r="40" spans="1:8" x14ac:dyDescent="0.2">
      <c r="A40" s="17" t="s">
        <v>6</v>
      </c>
      <c r="B40" s="19">
        <f>COUNTIFS('Raw Data'!$B$5:$B$79,"l",'Raw Data'!$E$5:$E$79,"&lt;&gt;")</f>
        <v>25</v>
      </c>
      <c r="C40" s="20">
        <f>AVERAGEIFS('Raw Data'!$E$5:$E$79,'Raw Data'!$B$5:$B$79,"l")</f>
        <v>364.16</v>
      </c>
      <c r="D40" s="20">
        <f t="array" ref="D40">STDEV(IF('Raw Data'!$B$5:$B$79="l",'Raw Data'!$E$5:$E$79))</f>
        <v>444.58891874029729</v>
      </c>
      <c r="E40" s="20">
        <f>_xlfn.MINIFS('Raw Data'!$E$5:$E$79,'Raw Data'!$B$5:$B$79,"l")</f>
        <v>0</v>
      </c>
      <c r="F40" s="20">
        <f t="array" ref="F40">MEDIAN(IF('Raw Data'!$B$5:$B$79="l",'Raw Data'!$E$5:$E$79))</f>
        <v>16</v>
      </c>
      <c r="G40" s="20">
        <f>_xlfn.MAXIFS('Raw Data'!$E$5:$E$79,'Raw Data'!$B$5:$B$79,"l")</f>
        <v>1200</v>
      </c>
      <c r="H40" s="17" t="s">
        <v>114</v>
      </c>
    </row>
    <row r="41" spans="1:8" x14ac:dyDescent="0.2">
      <c r="A41" s="21" t="s">
        <v>7</v>
      </c>
      <c r="B41" s="22">
        <f>COUNTIFS('Raw Data'!$B$5:$B$79,"l",'Raw Data'!$F$5:$F$79,"&lt;&gt;")</f>
        <v>25</v>
      </c>
      <c r="C41" s="23">
        <f>AVERAGEIFS('Raw Data'!$F$5:$F$79,'Raw Data'!$B$5:$B$79,"l")</f>
        <v>28.64</v>
      </c>
      <c r="D41" s="23">
        <f t="array" ref="D41">STDEV(IF('Raw Data'!$B$5:$B$79="l",'Raw Data'!$F$5:$F$79))</f>
        <v>37.204256028936619</v>
      </c>
      <c r="E41" s="23">
        <f>_xlfn.MINIFS('Raw Data'!$F$5:$F$79,'Raw Data'!$B$5:$B$79,"l")</f>
        <v>0</v>
      </c>
      <c r="F41" s="23">
        <f t="array" ref="F41">MEDIAN(IF('Raw Data'!$B$5:$B$79="l",'Raw Data'!$F$5:$F$79))</f>
        <v>1</v>
      </c>
      <c r="G41" s="23">
        <f>_xlfn.MAXIFS('Raw Data'!$F$5:$F$79,'Raw Data'!$B$5:$B$79,"l")</f>
        <v>100</v>
      </c>
      <c r="H41" s="21" t="s">
        <v>115</v>
      </c>
    </row>
    <row r="42" spans="1:8" x14ac:dyDescent="0.2">
      <c r="A42" s="17" t="s">
        <v>10</v>
      </c>
      <c r="B42" s="19">
        <f>COUNTIFS('Raw Data'!$B$5:$B$79,"l",'Raw Data'!$I$5:$I$79,"&lt;&gt;")</f>
        <v>25</v>
      </c>
      <c r="C42" s="20">
        <f>AVERAGEIFS('Raw Data'!$I$5:$I$79,'Raw Data'!$B$5:$B$79,"l")</f>
        <v>-0.28408</v>
      </c>
      <c r="D42" s="20">
        <f t="array" ref="D42">STDEV(IF('Raw Data'!$B$5:$B$79="l",'Raw Data'!$I$5:$I$79))</f>
        <v>5.3460203266854162E-2</v>
      </c>
      <c r="E42" s="20">
        <f>_xlfn.MINIFS('Raw Data'!$I$5:$I$79,'Raw Data'!$B$5:$B$79,"l")</f>
        <v>-0.39</v>
      </c>
      <c r="F42" s="20">
        <f t="array" ref="F42">MEDIAN(IF('Raw Data'!$B$5:$B$79="l",'Raw Data'!$I$5:$I$79))</f>
        <v>-0.28000000000000003</v>
      </c>
      <c r="G42" s="20">
        <f>_xlfn.MAXIFS('Raw Data'!$I$5:$I$79,'Raw Data'!$B$5:$B$79,"l")</f>
        <v>-0.19600000000000001</v>
      </c>
      <c r="H42" s="17" t="s">
        <v>116</v>
      </c>
    </row>
    <row r="43" spans="1:8" x14ac:dyDescent="0.2">
      <c r="A43" s="21" t="s">
        <v>13</v>
      </c>
      <c r="B43" s="22">
        <f>COUNTIFS('Raw Data'!$B$5:$B$79,"l",'Raw Data'!$L$5:$L$79,"&lt;&gt;")</f>
        <v>25</v>
      </c>
      <c r="C43" s="23">
        <f>AVERAGEIFS('Raw Data'!$L$5:$L$79,'Raw Data'!$B$5:$B$79,"l")</f>
        <v>364.16000000000014</v>
      </c>
      <c r="D43" s="23">
        <f t="array" ref="D43">STDEV(IF('Raw Data'!$B$5:$B$79="l",'Raw Data'!$L$5:$L$79))</f>
        <v>145.14213723106013</v>
      </c>
      <c r="E43" s="23">
        <f>_xlfn.MINIFS('Raw Data'!$L$5:$L$79,'Raw Data'!$B$5:$B$79,"l")</f>
        <v>89.6</v>
      </c>
      <c r="F43" s="23">
        <f t="array" ref="F43">MEDIAN(IF('Raw Data'!$B$5:$B$79="l",'Raw Data'!$L$5:$L$79))</f>
        <v>425.6</v>
      </c>
      <c r="G43" s="23">
        <f>_xlfn.MAXIFS('Raw Data'!$L$5:$L$79,'Raw Data'!$B$5:$B$79,"l")</f>
        <v>473.6</v>
      </c>
      <c r="H43" s="21" t="s">
        <v>117</v>
      </c>
    </row>
    <row r="44" spans="1:8" x14ac:dyDescent="0.2">
      <c r="A44" s="17" t="s">
        <v>14</v>
      </c>
      <c r="B44" s="19">
        <f>COUNTIFS('Raw Data'!$B$5:$B$79,"l",'Raw Data'!$M$5:$M$79,"&lt;&gt;")</f>
        <v>13</v>
      </c>
      <c r="C44" s="20">
        <f>AVERAGEIFS('Raw Data'!$M$5:$M$79,'Raw Data'!$B$5:$B$79,"l")</f>
        <v>0.15076923076923077</v>
      </c>
      <c r="D44" s="20">
        <f t="array" ref="D44">STDEV(IF('Raw Data'!$B$5:$B$79="l",'Raw Data'!$M$5:$M$79))</f>
        <v>8.122397018942952E-2</v>
      </c>
      <c r="E44" s="20">
        <f>_xlfn.MINIFS('Raw Data'!$M$5:$M$79,'Raw Data'!$B$5:$B$79,"l")</f>
        <v>0.11</v>
      </c>
      <c r="F44" s="20">
        <f t="array" ref="F44">MEDIAN(IF('Raw Data'!$B$5:$B$79="l",'Raw Data'!$M$5:$M$79))</f>
        <v>0.11</v>
      </c>
      <c r="G44" s="20">
        <f>_xlfn.MAXIFS('Raw Data'!$M$5:$M$79,'Raw Data'!$B$5:$B$79,"l")</f>
        <v>0.22</v>
      </c>
      <c r="H44" s="17" t="s">
        <v>118</v>
      </c>
    </row>
    <row r="45" spans="1:8" x14ac:dyDescent="0.2">
      <c r="A45" s="21" t="s">
        <v>15</v>
      </c>
      <c r="B45" s="22">
        <f>COUNTIFS('Raw Data'!$B$5:$B$79,"l",'Raw Data'!$N$5:$N$79,"&lt;&gt;")</f>
        <v>13</v>
      </c>
      <c r="C45" s="23">
        <f>AVERAGEIFS('Raw Data'!$N$5:$N$79,'Raw Data'!$B$5:$B$79,"l")</f>
        <v>10.392307692307693</v>
      </c>
      <c r="D45" s="23">
        <f t="array" ref="D45">STDEV(IF('Raw Data'!$B$5:$B$79="l",'Raw Data'!$N$5:$N$79))</f>
        <v>5.3178684639618545</v>
      </c>
      <c r="E45" s="23">
        <f>_xlfn.MINIFS('Raw Data'!$N$5:$N$79,'Raw Data'!$B$5:$B$79,"l")</f>
        <v>9.51</v>
      </c>
      <c r="F45" s="23">
        <f t="array" ref="F45">MEDIAN(IF('Raw Data'!$B$5:$B$79="l",'Raw Data'!$N$5:$N$79))</f>
        <v>9.51</v>
      </c>
      <c r="G45" s="23">
        <f>_xlfn.MAXIFS('Raw Data'!$N$5:$N$79,'Raw Data'!$B$5:$B$79,"l")</f>
        <v>11.3</v>
      </c>
      <c r="H45" s="21" t="s">
        <v>118</v>
      </c>
    </row>
    <row r="46" spans="1:8" x14ac:dyDescent="0.2">
      <c r="A46" s="17" t="s">
        <v>16</v>
      </c>
      <c r="B46" s="19">
        <f>COUNTIFS('Raw Data'!$B$5:$B$79,"l",'Raw Data'!$O$5:$O$79,"&lt;&gt;")</f>
        <v>13</v>
      </c>
      <c r="C46" s="20">
        <f>AVERAGEIFS('Raw Data'!$O$5:$O$79,'Raw Data'!$B$5:$B$79,"l")</f>
        <v>75.412307692307678</v>
      </c>
      <c r="D46" s="20">
        <f t="array" ref="D46">STDEV(IF('Raw Data'!$B$5:$B$79="l",'Raw Data'!$O$5:$O$79))</f>
        <v>38.636136267316722</v>
      </c>
      <c r="E46" s="20">
        <f>_xlfn.MINIFS('Raw Data'!$O$5:$O$79,'Raw Data'!$B$5:$B$79,"l")</f>
        <v>65.13</v>
      </c>
      <c r="F46" s="20">
        <f t="array" ref="F46">MEDIAN(IF('Raw Data'!$B$5:$B$79="l",'Raw Data'!$O$5:$O$79))</f>
        <v>65.13</v>
      </c>
      <c r="G46" s="20">
        <f>_xlfn.MAXIFS('Raw Data'!$O$5:$O$79,'Raw Data'!$B$5:$B$79,"l")</f>
        <v>82.86</v>
      </c>
      <c r="H46" s="17" t="s">
        <v>118</v>
      </c>
    </row>
    <row r="47" spans="1:8" x14ac:dyDescent="0.2">
      <c r="A47" s="21" t="s">
        <v>17</v>
      </c>
      <c r="B47" s="22">
        <f>COUNTIFS('Raw Data'!$B$5:$B$79,"l",'Raw Data'!$P$5:$P$79,"&lt;&gt;")</f>
        <v>13</v>
      </c>
      <c r="C47" s="23">
        <f>AVERAGEIFS('Raw Data'!$P$5:$P$79,'Raw Data'!$B$5:$B$79,"l")</f>
        <v>9.0499999999999989</v>
      </c>
      <c r="D47" s="23">
        <f t="array" ref="D47">STDEV(IF('Raw Data'!$B$5:$B$79="l",'Raw Data'!$P$5:$P$79))</f>
        <v>4.6365944758338893</v>
      </c>
      <c r="E47" s="23">
        <f>_xlfn.MINIFS('Raw Data'!$P$5:$P$79,'Raw Data'!$B$5:$B$79,"l")</f>
        <v>7.82</v>
      </c>
      <c r="F47" s="23">
        <f t="array" ref="F47">MEDIAN(IF('Raw Data'!$B$5:$B$79="l",'Raw Data'!$P$5:$P$79))</f>
        <v>7.82</v>
      </c>
      <c r="G47" s="23">
        <f>_xlfn.MAXIFS('Raw Data'!$P$5:$P$79,'Raw Data'!$B$5:$B$79,"l")</f>
        <v>9.94</v>
      </c>
      <c r="H47" s="21" t="s">
        <v>119</v>
      </c>
    </row>
    <row r="48" spans="1:8" x14ac:dyDescent="0.2">
      <c r="A48" s="17" t="s">
        <v>18</v>
      </c>
      <c r="B48" s="19">
        <f>COUNTIFS('Raw Data'!$B$5:$B$79,"l",'Raw Data'!$Q$5:$Q$79,"&lt;&gt;")</f>
        <v>13</v>
      </c>
      <c r="C48" s="20">
        <f>AVERAGEIFS('Raw Data'!$Q$5:$Q$79,'Raw Data'!$B$5:$B$79,"l")</f>
        <v>1.342307692307692</v>
      </c>
      <c r="D48" s="20">
        <f t="array" ref="D48">STDEV(IF('Raw Data'!$B$5:$B$79="l",'Raw Data'!$Q$5:$Q$79))</f>
        <v>0.70784296751939757</v>
      </c>
      <c r="E48" s="20">
        <f>_xlfn.MINIFS('Raw Data'!$Q$5:$Q$79,'Raw Data'!$B$5:$B$79,"l")</f>
        <v>1.03</v>
      </c>
      <c r="F48" s="20">
        <f t="array" ref="F48">MEDIAN(IF('Raw Data'!$B$5:$B$79="l",'Raw Data'!$Q$5:$Q$79))</f>
        <v>1.03</v>
      </c>
      <c r="G48" s="20">
        <f>_xlfn.MAXIFS('Raw Data'!$Q$5:$Q$79,'Raw Data'!$B$5:$B$79,"l")</f>
        <v>1.77</v>
      </c>
      <c r="H48" s="17" t="s">
        <v>120</v>
      </c>
    </row>
    <row r="49" spans="1:8" x14ac:dyDescent="0.2">
      <c r="A49" s="21" t="s">
        <v>19</v>
      </c>
      <c r="B49" s="22">
        <f>COUNTIFS('Raw Data'!$B$5:$B$79,"l",'Raw Data'!$R$5:$R$79,"&lt;&gt;")</f>
        <v>13</v>
      </c>
      <c r="C49" s="23">
        <f>AVERAGEIFS('Raw Data'!$R$5:$R$79,'Raw Data'!$B$5:$B$79,"l")</f>
        <v>9.3153846153846178</v>
      </c>
      <c r="D49" s="23">
        <f t="array" ref="D49">STDEV(IF('Raw Data'!$B$5:$B$79="l",'Raw Data'!$R$5:$R$79))</f>
        <v>5.0824108452583783</v>
      </c>
      <c r="E49" s="23">
        <f>_xlfn.MINIFS('Raw Data'!$R$5:$R$79,'Raw Data'!$B$5:$B$79,"l")</f>
        <v>5.2</v>
      </c>
      <c r="F49" s="23">
        <f t="array" ref="F49">MEDIAN(IF('Raw Data'!$B$5:$B$79="l",'Raw Data'!$R$5:$R$79))</f>
        <v>5.2</v>
      </c>
      <c r="G49" s="23">
        <f>_xlfn.MAXIFS('Raw Data'!$R$5:$R$79,'Raw Data'!$B$5:$B$79,"l")</f>
        <v>14.2</v>
      </c>
      <c r="H49" s="21" t="s">
        <v>118</v>
      </c>
    </row>
    <row r="50" spans="1:8" x14ac:dyDescent="0.2">
      <c r="A50" s="17" t="s">
        <v>20</v>
      </c>
      <c r="B50" s="19">
        <f>COUNTIFS('Raw Data'!$B$5:$B$79,"l",'Raw Data'!$S$5:$S$79,"&lt;&gt;")</f>
        <v>13</v>
      </c>
      <c r="C50" s="20">
        <f>AVERAGEIFS('Raw Data'!$S$5:$S$79,'Raw Data'!$B$5:$B$79,"l")</f>
        <v>0.3107692307692308</v>
      </c>
      <c r="D50" s="20">
        <f t="array" ref="D50">STDEV(IF('Raw Data'!$B$5:$B$79="l",'Raw Data'!$S$5:$S$79))</f>
        <v>0.16420718620084812</v>
      </c>
      <c r="E50" s="20">
        <f>_xlfn.MINIFS('Raw Data'!$S$5:$S$79,'Raw Data'!$B$5:$B$79,"l")</f>
        <v>0.21</v>
      </c>
      <c r="F50" s="20">
        <f t="array" ref="F50">MEDIAN(IF('Raw Data'!$B$5:$B$79="l",'Raw Data'!$S$5:$S$79))</f>
        <v>0.21</v>
      </c>
      <c r="G50" s="20">
        <f>_xlfn.MAXIFS('Raw Data'!$S$5:$S$79,'Raw Data'!$B$5:$B$79,"l")</f>
        <v>0.43</v>
      </c>
      <c r="H50" s="17" t="s">
        <v>121</v>
      </c>
    </row>
    <row r="51" spans="1:8" x14ac:dyDescent="0.2">
      <c r="A51" s="21" t="s">
        <v>21</v>
      </c>
      <c r="B51" s="22">
        <f>COUNTIFS('Raw Data'!$B$5:$B$79,"l",'Raw Data'!$T$5:$T$79,"&lt;&gt;")</f>
        <v>13</v>
      </c>
      <c r="C51" s="23">
        <f>AVERAGEIFS('Raw Data'!$T$5:$T$79,'Raw Data'!$B$5:$B$79,"l")</f>
        <v>0.18230769230769231</v>
      </c>
      <c r="D51" s="23">
        <f t="array" ref="D51">STDEV(IF('Raw Data'!$B$5:$B$79="l",'Raw Data'!$T$5:$T$79))</f>
        <v>9.6657470826970557E-2</v>
      </c>
      <c r="E51" s="23">
        <f>_xlfn.MINIFS('Raw Data'!$T$5:$T$79,'Raw Data'!$B$5:$B$79,"l")</f>
        <v>0.13</v>
      </c>
      <c r="F51" s="23">
        <f t="array" ref="F51">MEDIAN(IF('Raw Data'!$B$5:$B$79="l",'Raw Data'!$T$5:$T$79))</f>
        <v>0.13</v>
      </c>
      <c r="G51" s="23">
        <f>_xlfn.MAXIFS('Raw Data'!$T$5:$T$79,'Raw Data'!$B$5:$B$79,"l")</f>
        <v>0.25</v>
      </c>
      <c r="H51" s="21" t="s">
        <v>121</v>
      </c>
    </row>
    <row r="52" spans="1:8" x14ac:dyDescent="0.2">
      <c r="A52" s="17" t="s">
        <v>22</v>
      </c>
      <c r="B52" s="19">
        <f>COUNTIFS('Raw Data'!$B$5:$B$79,"l",'Raw Data'!$U$5:$U$79,"&lt;&gt;")</f>
        <v>13</v>
      </c>
      <c r="C52" s="20">
        <f>AVERAGEIFS('Raw Data'!$U$5:$U$79,'Raw Data'!$B$5:$B$79,"l")</f>
        <v>0.32384615384615384</v>
      </c>
      <c r="D52" s="20">
        <f t="array" ref="D52">STDEV(IF('Raw Data'!$B$5:$B$79="l",'Raw Data'!$U$5:$U$79))</f>
        <v>0.17109159340345551</v>
      </c>
      <c r="E52" s="20">
        <f>_xlfn.MINIFS('Raw Data'!$U$5:$U$79,'Raw Data'!$B$5:$B$79,"l")</f>
        <v>0.22</v>
      </c>
      <c r="F52" s="20">
        <f t="array" ref="F52">MEDIAN(IF('Raw Data'!$B$5:$B$79="l",'Raw Data'!$U$5:$U$79))</f>
        <v>0.22</v>
      </c>
      <c r="G52" s="20">
        <f>_xlfn.MAXIFS('Raw Data'!$U$5:$U$79,'Raw Data'!$B$5:$B$79,"l")</f>
        <v>0.47</v>
      </c>
      <c r="H52" s="17" t="s">
        <v>121</v>
      </c>
    </row>
    <row r="53" spans="1:8" x14ac:dyDescent="0.2">
      <c r="A53" s="21" t="s">
        <v>23</v>
      </c>
      <c r="B53" s="22">
        <f>COUNTIFS('Raw Data'!$B$5:$B$79,"l",'Raw Data'!$V$5:$V$79,"&lt;&gt;")</f>
        <v>13</v>
      </c>
      <c r="C53" s="23">
        <f>AVERAGEIFS('Raw Data'!$V$5:$V$79,'Raw Data'!$B$5:$B$79,"l")</f>
        <v>0.18230769230769231</v>
      </c>
      <c r="D53" s="23">
        <f t="array" ref="D53">STDEV(IF('Raw Data'!$B$5:$B$79="l",'Raw Data'!$V$5:$V$79))</f>
        <v>9.6441692229035453E-2</v>
      </c>
      <c r="E53" s="23">
        <f>_xlfn.MINIFS('Raw Data'!$V$5:$V$79,'Raw Data'!$B$5:$B$79,"l")</f>
        <v>0.12</v>
      </c>
      <c r="F53" s="23">
        <f t="array" ref="F53">MEDIAN(IF('Raw Data'!$B$5:$B$79="l",'Raw Data'!$V$5:$V$79))</f>
        <v>0.12</v>
      </c>
      <c r="G53" s="23">
        <f>_xlfn.MAXIFS('Raw Data'!$V$5:$V$79,'Raw Data'!$B$5:$B$79,"l")</f>
        <v>0.24</v>
      </c>
      <c r="H53" s="21" t="s">
        <v>121</v>
      </c>
    </row>
  </sheetData>
  <mergeCells count="3">
    <mergeCell ref="A4:H4"/>
    <mergeCell ref="A21:H21"/>
    <mergeCell ref="A38:H3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showGridLines="0" zoomScaleNormal="100" workbookViewId="0"/>
  </sheetViews>
  <sheetFormatPr baseColWidth="10" defaultColWidth="8.6640625" defaultRowHeight="15" x14ac:dyDescent="0.2"/>
  <cols>
    <col min="1" max="1" width="22" customWidth="1"/>
    <col min="2" max="2" width="10" customWidth="1"/>
    <col min="3" max="3" width="16" customWidth="1"/>
    <col min="4" max="4" width="36" customWidth="1"/>
  </cols>
  <sheetData>
    <row r="1" spans="1:4" ht="17.25" customHeight="1" x14ac:dyDescent="0.2">
      <c r="A1" s="4" t="s">
        <v>127</v>
      </c>
      <c r="B1" s="4"/>
      <c r="C1" s="4"/>
      <c r="D1" s="4"/>
    </row>
    <row r="2" spans="1:4" ht="15" customHeight="1" x14ac:dyDescent="0.2">
      <c r="A2" s="3" t="s">
        <v>128</v>
      </c>
      <c r="B2" s="3"/>
      <c r="C2" s="3"/>
      <c r="D2" s="3"/>
    </row>
    <row r="4" spans="1:4" ht="15" customHeight="1" x14ac:dyDescent="0.2">
      <c r="A4" s="1" t="s">
        <v>3</v>
      </c>
      <c r="B4" s="1"/>
      <c r="C4" s="1"/>
      <c r="D4" s="1"/>
    </row>
    <row r="5" spans="1:4" ht="15" customHeight="1" x14ac:dyDescent="0.2">
      <c r="A5" s="6" t="s">
        <v>129</v>
      </c>
      <c r="B5" s="6" t="s">
        <v>130</v>
      </c>
      <c r="C5" s="6" t="s">
        <v>131</v>
      </c>
      <c r="D5" s="6" t="s">
        <v>132</v>
      </c>
    </row>
    <row r="6" spans="1:4" ht="15" customHeight="1" x14ac:dyDescent="0.2">
      <c r="A6" s="9" t="s">
        <v>25</v>
      </c>
      <c r="B6" s="24">
        <f>COUNTIF('Raw Data'!B5:B79,"h")</f>
        <v>25</v>
      </c>
      <c r="C6" s="25">
        <f>B6/75</f>
        <v>0.33333333333333331</v>
      </c>
      <c r="D6" s="12" t="s">
        <v>133</v>
      </c>
    </row>
    <row r="7" spans="1:4" ht="15" customHeight="1" x14ac:dyDescent="0.2">
      <c r="A7" s="13" t="s">
        <v>33</v>
      </c>
      <c r="B7" s="26">
        <f>COUNTIF('Raw Data'!B5:B79,"c")</f>
        <v>25</v>
      </c>
      <c r="C7" s="27">
        <f>B7/75</f>
        <v>0.33333333333333331</v>
      </c>
      <c r="D7" s="16" t="s">
        <v>134</v>
      </c>
    </row>
    <row r="8" spans="1:4" ht="15" customHeight="1" x14ac:dyDescent="0.2">
      <c r="A8" s="9" t="s">
        <v>39</v>
      </c>
      <c r="B8" s="24">
        <f>COUNTIF('Raw Data'!B5:B79,"l")</f>
        <v>25</v>
      </c>
      <c r="C8" s="25">
        <f>B8/75</f>
        <v>0.33333333333333331</v>
      </c>
      <c r="D8" s="12" t="s">
        <v>135</v>
      </c>
    </row>
    <row r="10" spans="1:4" ht="15" customHeight="1" x14ac:dyDescent="0.2">
      <c r="A10" s="1" t="s">
        <v>4</v>
      </c>
      <c r="B10" s="1"/>
      <c r="C10" s="1"/>
      <c r="D10" s="1"/>
    </row>
    <row r="11" spans="1:4" ht="15" customHeight="1" x14ac:dyDescent="0.2">
      <c r="A11" s="6" t="s">
        <v>129</v>
      </c>
      <c r="B11" s="6" t="s">
        <v>130</v>
      </c>
      <c r="C11" s="6" t="s">
        <v>131</v>
      </c>
      <c r="D11" s="6" t="s">
        <v>132</v>
      </c>
    </row>
    <row r="12" spans="1:4" ht="15" customHeight="1" x14ac:dyDescent="0.2">
      <c r="A12" s="9" t="s">
        <v>26</v>
      </c>
      <c r="B12" s="24">
        <f>COUNTIF('Raw Data'!C5:C79,"jute")</f>
        <v>50</v>
      </c>
      <c r="C12" s="25">
        <f>B12/75</f>
        <v>0.66666666666666663</v>
      </c>
      <c r="D12" s="12"/>
    </row>
    <row r="13" spans="1:4" ht="15" customHeight="1" x14ac:dyDescent="0.2">
      <c r="A13" s="13" t="s">
        <v>28</v>
      </c>
      <c r="B13" s="26">
        <f>COUNTIF('Raw Data'!C5:C79,"shell")</f>
        <v>25</v>
      </c>
      <c r="C13" s="27">
        <f>B13/75</f>
        <v>0.33333333333333331</v>
      </c>
      <c r="D13" s="16"/>
    </row>
    <row r="15" spans="1:4" ht="15" customHeight="1" x14ac:dyDescent="0.2">
      <c r="A15" s="1" t="s">
        <v>5</v>
      </c>
      <c r="B15" s="1"/>
      <c r="C15" s="1"/>
      <c r="D15" s="1"/>
    </row>
    <row r="16" spans="1:4" ht="15" customHeight="1" x14ac:dyDescent="0.2">
      <c r="A16" s="6" t="s">
        <v>129</v>
      </c>
      <c r="B16" s="6" t="s">
        <v>130</v>
      </c>
      <c r="C16" s="6" t="s">
        <v>131</v>
      </c>
      <c r="D16" s="6" t="s">
        <v>132</v>
      </c>
    </row>
    <row r="17" spans="1:4" ht="15" customHeight="1" x14ac:dyDescent="0.2">
      <c r="A17" s="9" t="s">
        <v>26</v>
      </c>
      <c r="B17" s="24">
        <f>COUNTIF('Raw Data'!D5:D79,"jute")</f>
        <v>24</v>
      </c>
      <c r="C17" s="25">
        <f>B17/75</f>
        <v>0.32</v>
      </c>
      <c r="D17" s="12"/>
    </row>
    <row r="18" spans="1:4" ht="15" customHeight="1" x14ac:dyDescent="0.2">
      <c r="A18" s="13" t="s">
        <v>28</v>
      </c>
      <c r="B18" s="26">
        <f>COUNTIF('Raw Data'!D5:D79,"shell")</f>
        <v>51</v>
      </c>
      <c r="C18" s="27">
        <f>B18/75</f>
        <v>0.68</v>
      </c>
      <c r="D18" s="16"/>
    </row>
  </sheetData>
  <mergeCells count="5">
    <mergeCell ref="A1:D1"/>
    <mergeCell ref="A2:D2"/>
    <mergeCell ref="A4:D4"/>
    <mergeCell ref="A10:D10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1"/>
  <sheetViews>
    <sheetView showGridLines="0"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7.25" customHeight="1" x14ac:dyDescent="0.2">
      <c r="A1" s="5" t="s">
        <v>136</v>
      </c>
    </row>
    <row r="2" spans="1:1" ht="7.5" customHeight="1" x14ac:dyDescent="0.2">
      <c r="A2" s="28"/>
    </row>
    <row r="3" spans="1:1" ht="30" customHeight="1" x14ac:dyDescent="0.2">
      <c r="A3" s="28" t="s">
        <v>137</v>
      </c>
    </row>
    <row r="4" spans="1:1" ht="7.5" customHeight="1" x14ac:dyDescent="0.2">
      <c r="A4" s="28"/>
    </row>
    <row r="5" spans="1:1" ht="30" customHeight="1" x14ac:dyDescent="0.2">
      <c r="A5" s="28" t="s">
        <v>138</v>
      </c>
    </row>
    <row r="6" spans="1:1" ht="7.5" customHeight="1" x14ac:dyDescent="0.2">
      <c r="A6" s="28"/>
    </row>
    <row r="7" spans="1:1" ht="30" customHeight="1" x14ac:dyDescent="0.2">
      <c r="A7" s="28" t="s">
        <v>139</v>
      </c>
    </row>
    <row r="8" spans="1:1" ht="7.5" customHeight="1" x14ac:dyDescent="0.2">
      <c r="A8" s="28"/>
    </row>
    <row r="9" spans="1:1" ht="30" customHeight="1" x14ac:dyDescent="0.2">
      <c r="A9" s="28" t="s">
        <v>140</v>
      </c>
    </row>
    <row r="10" spans="1:1" ht="7.5" customHeight="1" x14ac:dyDescent="0.2">
      <c r="A10" s="28"/>
    </row>
    <row r="11" spans="1:1" ht="30" customHeight="1" x14ac:dyDescent="0.2">
      <c r="A11" s="28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Numeric Summary</vt:lpstr>
      <vt:lpstr>By Treatment</vt:lpstr>
      <vt:lpstr>Categorical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Marchionno,Joseph L</cp:lastModifiedBy>
  <cp:revision>0</cp:revision>
  <dcterms:created xsi:type="dcterms:W3CDTF">2026-09-18T18:47:51Z</dcterms:created>
  <dcterms:modified xsi:type="dcterms:W3CDTF">2026-09-21T17:07:39Z</dcterms:modified>
  <dc:language>en-US</dc:language>
</cp:coreProperties>
</file>